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comments14.xml" ContentType="application/vnd.openxmlformats-officedocument.spreadsheetml.comments+xml"/>
  <Override PartName="/xl/comments12.xml" ContentType="application/vnd.openxmlformats-officedocument.spreadsheetml.comments+xml"/>
  <Override PartName="/xl/comments11.xml" ContentType="application/vnd.openxmlformats-officedocument.spreadsheetml.comments+xml"/>
  <Override PartName="/xl/comments23.xml" ContentType="application/vnd.openxmlformats-officedocument.spreadsheetml.comments+xml"/>
  <Override PartName="/xl/workbook.xml" ContentType="application/vnd.openxmlformats-officedocument.spreadsheetml.sheet.main+xml"/>
  <Override PartName="/xl/comments22.xml" ContentType="application/vnd.openxmlformats-officedocument.spreadsheetml.comments+xml"/>
  <Override PartName="/xl/comments10.xml" ContentType="application/vnd.openxmlformats-officedocument.spreadsheetml.comment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13.xml" ContentType="application/vnd.openxmlformats-officedocument.spreadsheetml.worksheet+xml"/>
  <Override PartName="/xl/worksheets/sheet2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2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comments15.xml" ContentType="application/vnd.openxmlformats-officedocument.spreadsheetml.comments+xml"/>
  <Override PartName="/xl/comments13.xml" ContentType="application/vnd.openxmlformats-officedocument.spreadsheetml.comment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9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2.vml" ContentType="application/vnd.openxmlformats-officedocument.vmlDrawing"/>
  <Override PartName="/xl/drawings/vmlDrawing8.vml" ContentType="application/vnd.openxmlformats-officedocument.vmlDrawing"/>
  <Override PartName="/xl/drawings/vmlDrawing4.vml" ContentType="application/vnd.openxmlformats-officedocument.vmlDrawing"/>
  <Override PartName="/xl/drawings/vmlDrawing9.vml" ContentType="application/vnd.openxmlformats-officedocument.vmlDrawing"/>
  <Override PartName="/xl/theme/theme1.xml" ContentType="application/vnd.openxmlformats-officedocument.theme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ver" sheetId="1" state="visible" r:id="rId3"/>
    <sheet name="KPIs" sheetId="2" state="visible" r:id="rId4"/>
    <sheet name="Strategy" sheetId="3" state="visible" r:id="rId5"/>
    <sheet name="MarketPositioning" sheetId="4" state="visible" r:id="rId6"/>
    <sheet name="Roadmap" sheetId="5" state="visible" r:id="rId7"/>
    <sheet name="Platform" sheetId="6" state="visible" r:id="rId8"/>
    <sheet name="R&amp;D_Buckets" sheetId="7" state="visible" r:id="rId9"/>
    <sheet name="ReuseMatrix" sheetId="8" state="visible" r:id="rId10"/>
    <sheet name="Assumptions" sheetId="9" state="visible" r:id="rId11"/>
    <sheet name="V1_AESA" sheetId="10" state="visible" r:id="rId12"/>
    <sheet name="V2_EW_SIGINT" sheetId="11" state="visible" r:id="rId13"/>
    <sheet name="V3_CUAS" sheetId="12" state="visible" r:id="rId14"/>
    <sheet name="V4_UAS_MALE" sheetId="13" state="visible" r:id="rId15"/>
    <sheet name="V5_Autonomous" sheetId="14" state="visible" r:id="rId16"/>
    <sheet name="V6_MilAI" sheetId="15" state="visible" r:id="rId17"/>
    <sheet name="Revenue" sheetId="16" state="visible" r:id="rId18"/>
    <sheet name="Backlog" sheetId="17" state="visible" r:id="rId19"/>
    <sheet name="Headcount" sheetId="18" state="visible" r:id="rId20"/>
    <sheet name="R&amp;D_NRE" sheetId="19" state="visible" r:id="rId21"/>
    <sheet name="Capex" sheetId="20" state="visible" r:id="rId22"/>
    <sheet name="Opex" sheetId="21" state="visible" r:id="rId23"/>
    <sheet name="P&amp;L" sheetId="22" state="visible" r:id="rId24"/>
    <sheet name="CashFlow" sheetId="23" state="visible" r:id="rId25"/>
    <sheet name="BalanceSheet" sheetId="24" state="visible" r:id="rId26"/>
    <sheet name="Funding" sheetId="25" state="visible" r:id="rId27"/>
    <sheet name="BreakEven" sheetId="26" state="visible" r:id="rId2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31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32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7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8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15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16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E23" authorId="0">
      <text>
        <r>
          <rPr>
            <sz val="10"/>
            <rFont val="Arial"/>
            <family val="2"/>
          </rPr>
          <t xml:space="preserve">ASP[y] = ASP[y-1] * (1 + Assumptions!C8 escalation). Y1 (col D) is yellow input.</t>
        </r>
      </text>
    </comment>
    <comment ref="E24" authorId="0">
      <text>
        <r>
          <rPr>
            <sz val="10"/>
            <rFont val="Arial"/>
            <family val="2"/>
          </rPr>
          <t xml:space="preserve">BoM[y] = base * C10^log2(cum_units), floored at 50% of Y1 base. Wright's law per-variant.</t>
        </r>
      </text>
    </comment>
    <comment ref="M7" authorId="0">
      <text>
        <r>
          <rPr>
            <sz val="10"/>
            <rFont val="Arial"/>
            <family val="2"/>
          </rPr>
          <t xml:space="preserve">Review-2 note: Y10 unit GM still ~86% for V6 - BoM floor doesn't bite because intrinsic SW/AI BoM is small. Defense-software comps typically 50-65% GM. Consider adding services-cost line (deployment, custom integration, classified support) to V6 COGS if pursuing investor scrutiny.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E12" authorId="0">
      <text>
        <r>
          <rPr>
            <sz val="10"/>
            <rFont val="Arial"/>
            <family val="2"/>
          </rPr>
          <t xml:space="preserve">C4 fix: Platform NRE split into capitalized (60%, intangibles) and expensed (40%, includes implied external/contractor engineering services). Capitalized portion amortizes 6yr SL via D&amp;A.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D23" authorId="0">
      <text>
        <r>
          <rPr>
            <sz val="10"/>
            <rFont val="Arial"/>
            <family val="2"/>
          </rPr>
          <t xml:space="preserve">C5 fix: tax = MAX(Regular, MAT) − MAT credit utilized. Regular = 25% on (PBT − NOL utilized). NOL pool tracked on rows 27-31. MAT credit asset rows 35-38.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Fin Review</author>
  </authors>
  <commentList>
    <comment ref="C12" authorId="0">
      <text>
        <r>
          <rPr>
            <sz val="10"/>
            <rFont val="Arial"/>
            <family val="2"/>
          </rPr>
          <t xml:space="preserve">m7: Day-0 (opening Y1) NWC is implicitly zero, so the full Y1 NWC of AR+Inv−AP charges to ΔWC in Y1. For a Y1 startup this is realistic; flagged here for transparency.</t>
        </r>
      </text>
    </comment>
  </commentList>
</comments>
</file>

<file path=xl/sharedStrings.xml><?xml version="1.0" encoding="utf-8"?>
<sst xmlns="http://schemas.openxmlformats.org/spreadsheetml/2006/main" count="1794" uniqueCount="935">
  <si>
    <t xml:space="preserve">NEW-AGE DEFENCE PRIME  |  10-YEAR STRATEGIC PLAN</t>
  </si>
  <si>
    <t xml:space="preserve">Platform-Based Engineering - Multi-Domain (Air | Land | Sea | Cyber)</t>
  </si>
  <si>
    <t xml:space="preserve">Company thesis</t>
  </si>
  <si>
    <t xml:space="preserve">A new-age defense prime built on owned IP across six product verticals. All six are already designed; V2 EW/SIGINT is GSQR-compliant with a committed Rs.200 Cr iDEX MoQ for 10 airborne ESM units now in prototype trials. Capital deployed against prototyping, qualification, and production line stand-up - not greenfield invention. Five reusable platform modules (RF, DSP, SysEng, Embedded/SW, AI/ML) compound R&amp;D leverage across verticals.</t>
  </si>
  <si>
    <t xml:space="preserve">Operating model</t>
  </si>
  <si>
    <t xml:space="preserve">Industrialise mature designs in parallel. Cross-functional product squads, short qualification cycles (12-24 months MVP-to-field) enabled by pre-existing design IP and 10% bank-confirmed BG cash margin. Concurrent development + production across verticals.</t>
  </si>
  <si>
    <t xml:space="preserve">Product verticals</t>
  </si>
  <si>
    <t xml:space="preserve">1) AESA Radar (first ship Y2)  |  2) EW &amp; SIGINT (Rs.200 Cr iDEX MoQ in trials, ship Y1)  |  3) Counter-UAS (Y3)  |  4) MALE ISR UAS (end-Y3)  |  5) Autonomous AUV/USV (Y3)  |  6) Military AI modules (Y2)</t>
  </si>
  <si>
    <t xml:space="preserve">Core USP</t>
  </si>
  <si>
    <t xml:space="preserve">Owned IP across six fielded product lines inside Y3. Five reusable platform modules. Bank-confirmed 10% BG margin from Day 1 unlocks capital efficiency. iDEX-validated ESM anchor de-risks the funding ask. Cross-domain coverage Air/Land/Sea/Cyber from a single engineering org.</t>
  </si>
  <si>
    <t xml:space="preserve">Planning horizon</t>
  </si>
  <si>
    <t xml:space="preserve">10 years  |  Currency: INR Crores  |  All cells with yellow background are inputs.</t>
  </si>
  <si>
    <t xml:space="preserve">Cell colour key</t>
  </si>
  <si>
    <t xml:space="preserve">Yellow = input  |  Light blue = calculated  |  Darker blue = total/subtotal  |  Navy bar = section header</t>
  </si>
  <si>
    <t xml:space="preserve">Read order</t>
  </si>
  <si>
    <t xml:space="preserve">Cover to KPIs to Strategy to MarketPositioning to Roadmap to Platform to ReuseMatrix to Assumptions to V1..V6 (per-vertical) to Revenue to Headcount to R&amp;D_NRE to Capex to Opex to P&amp;L to CashFlow to Funding to BreakEven</t>
  </si>
  <si>
    <t xml:space="preserve">Product verticals at a glance</t>
  </si>
  <si>
    <t xml:space="preserve">Code</t>
  </si>
  <si>
    <t xml:space="preserve">Vertical</t>
  </si>
  <si>
    <t xml:space="preserve">Domain</t>
  </si>
  <si>
    <t xml:space="preserve">Launch</t>
  </si>
  <si>
    <t xml:space="preserve">Sheet</t>
  </si>
  <si>
    <t xml:space="preserve">V1</t>
  </si>
  <si>
    <t xml:space="preserve">AESA Radar</t>
  </si>
  <si>
    <t xml:space="preserve">Air/Land/Sea (RF)</t>
  </si>
  <si>
    <t xml:space="preserve">Y2</t>
  </si>
  <si>
    <t xml:space="preserve">V1_AESA</t>
  </si>
  <si>
    <t xml:space="preserve">V2</t>
  </si>
  <si>
    <t xml:space="preserve">Electronic Warfare &amp; SIGINT</t>
  </si>
  <si>
    <t xml:space="preserve">Air/Land/Sea (RF + DSP)</t>
  </si>
  <si>
    <t xml:space="preserve">Y1</t>
  </si>
  <si>
    <t xml:space="preserve">V2_EW_SIGINT</t>
  </si>
  <si>
    <t xml:space="preserve">V3</t>
  </si>
  <si>
    <t xml:space="preserve">Counter-UAS (Anti-Drone)</t>
  </si>
  <si>
    <t xml:space="preserve">Land/Air (RF + AI fusion)</t>
  </si>
  <si>
    <t xml:space="preserve">V3_CUAS</t>
  </si>
  <si>
    <t xml:space="preserve">V4</t>
  </si>
  <si>
    <t xml:space="preserve">MALE-class ISR UAS</t>
  </si>
  <si>
    <t xml:space="preserve">Air (SysEng + SW + AI)</t>
  </si>
  <si>
    <t xml:space="preserve">Y4</t>
  </si>
  <si>
    <t xml:space="preserve">V4_UAS_MALE</t>
  </si>
  <si>
    <t xml:space="preserve">V5</t>
  </si>
  <si>
    <t xml:space="preserve">Autonomous Systems (AUV/USV)</t>
  </si>
  <si>
    <t xml:space="preserve">Sea (SysEng + SW + AI)</t>
  </si>
  <si>
    <t xml:space="preserve">Y3</t>
  </si>
  <si>
    <t xml:space="preserve">V5_Autonomous</t>
  </si>
  <si>
    <t xml:space="preserve">V6</t>
  </si>
  <si>
    <t xml:space="preserve">Military AI Systems</t>
  </si>
  <si>
    <t xml:space="preserve">Cross-domain (AI/SW)</t>
  </si>
  <si>
    <t xml:space="preserve">V6_MilAI</t>
  </si>
  <si>
    <t xml:space="preserve">CXO EXECUTIVE SUMMARY</t>
  </si>
  <si>
    <t xml:space="preserve">Year 10 Revenue</t>
  </si>
  <si>
    <t xml:space="preserve">Year 10 EBITDA (margin)</t>
  </si>
  <si>
    <t xml:space="preserve">10-Yr Cumulative FCF</t>
  </si>
  <si>
    <t xml:space="preserve">IRR (10-Yr FCF)</t>
  </si>
  <si>
    <t xml:space="preserve">NPV @ Disc. Rate (WACC)</t>
  </si>
  <si>
    <t xml:space="preserve">Executive KPI Dashboard - Diversified Defense &amp; Aerospace</t>
  </si>
  <si>
    <t xml:space="preserve">Metric</t>
  </si>
  <si>
    <t xml:space="preserve">Y5</t>
  </si>
  <si>
    <t xml:space="preserve">Y6</t>
  </si>
  <si>
    <t xml:space="preserve">Y7</t>
  </si>
  <si>
    <t xml:space="preserve">Y8</t>
  </si>
  <si>
    <t xml:space="preserve">Y9</t>
  </si>
  <si>
    <t xml:space="preserve">Y10</t>
  </si>
  <si>
    <t xml:space="preserve">Total revenue</t>
  </si>
  <si>
    <t xml:space="preserve">Revenue growth Y/Y</t>
  </si>
  <si>
    <t xml:space="preserve">Gross profit</t>
  </si>
  <si>
    <t xml:space="preserve">Gross margin %</t>
  </si>
  <si>
    <t xml:space="preserve">R&amp;D / NRE expense</t>
  </si>
  <si>
    <t xml:space="preserve">Counterfactual: NRE avoided by platform reuse (NOT realized cash)</t>
  </si>
  <si>
    <t xml:space="preserve">EBITDA</t>
  </si>
  <si>
    <t xml:space="preserve">EBITDA margin %</t>
  </si>
  <si>
    <t xml:space="preserve">Net income</t>
  </si>
  <si>
    <t xml:space="preserve">Free cash flow</t>
  </si>
  <si>
    <t xml:space="preserve">Cumulative FCF</t>
  </si>
  <si>
    <t xml:space="preserve">Cash balance (EoY, deployable)</t>
  </si>
  <si>
    <t xml:space="preserve">Restricted cash (BG collateral)</t>
  </si>
  <si>
    <t xml:space="preserve">Total cash (incl. restricted)</t>
  </si>
  <si>
    <t xml:space="preserve">Net cash (deployable = Total − Restricted)</t>
  </si>
  <si>
    <t xml:space="preserve">Contract liabilities (customer advances, EoY)</t>
  </si>
  <si>
    <t xml:space="preserve">Bank guarantees outstanding (PBG + ABG)</t>
  </si>
  <si>
    <t xml:space="preserve">Equity raised</t>
  </si>
  <si>
    <t xml:space="preserve">Debt balance (EoY)</t>
  </si>
  <si>
    <t xml:space="preserve">Total headcount (EoY)</t>
  </si>
  <si>
    <t xml:space="preserve">Revenue per employee</t>
  </si>
  <si>
    <t xml:space="preserve">Capex (gross)</t>
  </si>
  <si>
    <t xml:space="preserve">Current ratio (CA / CL = AP + Customer Advances)</t>
  </si>
  <si>
    <t xml:space="preserve">ROIC (NOPAT / Debt+Equity)</t>
  </si>
  <si>
    <t xml:space="preserve">Net Working Capital</t>
  </si>
  <si>
    <t xml:space="preserve">10-year cumulative &amp; strategic indicators</t>
  </si>
  <si>
    <t xml:space="preserve">Cumulative revenue (10 yr)</t>
  </si>
  <si>
    <t xml:space="preserve">Cumulative EBITDA (10 yr)</t>
  </si>
  <si>
    <t xml:space="preserve">Cumulative net income (10 yr)</t>
  </si>
  <si>
    <t xml:space="preserve">Cumulative R&amp;D / NRE expense</t>
  </si>
  <si>
    <t xml:space="preserve">Cumulative NRE saved by platform</t>
  </si>
  <si>
    <t xml:space="preserve">Total equity raised</t>
  </si>
  <si>
    <t xml:space="preserve">Total Capex (10 yr)</t>
  </si>
  <si>
    <t xml:space="preserve">NPV of FCF (WACC)</t>
  </si>
  <si>
    <t xml:space="preserve">IRR of FCF</t>
  </si>
  <si>
    <t xml:space="preserve">Peak cumulative cash deficit</t>
  </si>
  <si>
    <t xml:space="preserve">First EBITDA-positive year</t>
  </si>
  <si>
    <t xml:space="preserve">First FCF-positive year</t>
  </si>
  <si>
    <t xml:space="preserve">R&amp;D bucket accounting summary</t>
  </si>
  <si>
    <t xml:space="preserve">Weighted Platform R&amp;D capitalisation %</t>
  </si>
  <si>
    <t xml:space="preserve">Research expensed</t>
  </si>
  <si>
    <t xml:space="preserve">Development capitalised</t>
  </si>
  <si>
    <t xml:space="preserve">Development expensed / not capitalisation eligible</t>
  </si>
  <si>
    <t xml:space="preserve">Net capitalised R&amp;D intangible asset</t>
  </si>
  <si>
    <t xml:space="preserve">Terminal Value &amp; Equity Returns (memo)</t>
  </si>
  <si>
    <t xml:space="preserve">Y10 EBITDA (₹ Cr)</t>
  </si>
  <si>
    <t xml:space="preserve">Y10 FCF (₹ Cr)</t>
  </si>
  <si>
    <t xml:space="preserve">TV @ 12x Y10 EBITDA</t>
  </si>
  <si>
    <t xml:space="preserve">TV @ Gordon (g=3%, r=WACC)</t>
  </si>
  <si>
    <t xml:space="preserve">PV of TV @ Y0 (12x case)</t>
  </si>
  <si>
    <t xml:space="preserve">PV of TV @ Y0 (Gordon case)</t>
  </si>
  <si>
    <t xml:space="preserve">Equity NPV incl. TV (12x case)</t>
  </si>
  <si>
    <t xml:space="preserve">Equity NPV incl. TV (Gordon case)</t>
  </si>
  <si>
    <t xml:space="preserve">Note</t>
  </si>
  <si>
    <t xml:space="preserve">IRR incl. TV not auto-computed; with PV of TV ~Rs.5-7K Cr against Rs.1,100 Cr deployed, IRR incl. TV typically jumps 8-12 percentage points vs 10-yr FCF-only IRR.</t>
  </si>
  <si>
    <t xml:space="preserve">Strategic Narrative - New-Age Defense Prime</t>
  </si>
  <si>
    <t xml:space="preserve">Vision (10-yr)</t>
  </si>
  <si>
    <t xml:space="preserve">Become the reference multi-domain defense technology firm of the new-age prime model - supplier of RF, autonomy and AI products across Air, Land, Sea and Cyber, anchored on a single, deeply reusable engineering platform and shipped on commercial-software cycle times.</t>
  </si>
  <si>
    <t xml:space="preserve">Mission</t>
  </si>
  <si>
    <t xml:space="preserve">Industrialise six pre-designed defense product lines on commercial-software cycle times. Convert owned IP and the iDEX-anchored ESM contract into a defensible new-age prime: lower NRE per product, faster qualification, compounding gross margin from Year 1.</t>
  </si>
  <si>
    <t xml:space="preserve">New-age prime - operating model</t>
  </si>
  <si>
    <t xml:space="preserve">Product-focused, software-defined, asset-light. Cross-functional product squads instead of program directorates. Short cycles (12–24 month MVP to field) replace multi-year legacy programs. Concurrent development across verticals while ESM (already partly developed at Day 1) is in production and sales - funding subsequent product lines from operating cash, not just equity. Capex deferred via partner anechoic / EMI / range facilities until volumes justify owned infra.</t>
  </si>
  <si>
    <t xml:space="preserve">Operating thesis vs. legacy primes</t>
  </si>
  <si>
    <t xml:space="preserve">Legacy primes carry the full NRE burden and the full bureaucracy overhead on every product, on 5–7 year cycles. This firm amortizes RF, DSP, SysEng, SW and AI investment across 6 product lines on 1–3 year cycles, with a productized ESM business funding adjacent products - driving lower NRE per product, faster qualification, and compounding gross margin from Year 1.</t>
  </si>
  <si>
    <t xml:space="preserve">Multi-domain autonomous + RF systems provider operating like a software company. One certifiable platform, six product lines fielded in 5 years, three domains. We out-cycle single-point vendors on cost-to-deliver and time-to-fielding, and out-scale narrow startups on capability breadth.</t>
  </si>
  <si>
    <t xml:space="preserve">Strategic pillars</t>
  </si>
  <si>
    <t xml:space="preserve">1) Platform Engineering - five reusable tech modules (RF · DSP · SysEng · SW · AI).  2) Multi-Domain Coverage - Air (UAS, EW pods, AESA), Land (C-UAS, SIGINT, Mil AI), Sea (AUV, USV).  3) Concurrent Dev + Production - ESM cash funds adjacent product development.  4) IP + Sovereign Capability - cleared workforce + retained data rights + IP-led licensing.  5) Allied + FMS Export - DCS/FMS-eligible product variants from Day 1.</t>
  </si>
  <si>
    <t xml:space="preserve">Capability waves (compressed)</t>
  </si>
  <si>
    <t xml:space="preserve">Wave 1 (Y1-Y2): Deliver Rs.200 Cr iDEX ESM MoQ; ship V6 Military AI modules; V1 AESA + V3 C-UAS + V4 MALE prototype trials.  Wave 2 (Y3): V1 AESA first delivery + V3 C-UAS first orders + V4 MALE end-Y3 first delivery + V5 AUV first delivery.  Wave 3 (Y4-Y6): Production ramp across all six verticals + export/FMS variants.  Wave 4 (Y7+): Scale, replenishment cycles, allied bids.</t>
  </si>
  <si>
    <t xml:space="preserve">Margin trajectory (model output)</t>
  </si>
  <si>
    <t xml:space="preserve">Gross margin expands from ~25% (Y1, low BoM scale) toward 70–80% (Y10) as: (a) BoM learning, (b) platform reuse, (c) growing software/AI revenue mix. EBITDA crosses positive earlier than a legacy prime would achieve thanks to concurrent ESM revenue; FCF turns positive shortly after.</t>
  </si>
  <si>
    <t xml:space="preserve">Funding strategy</t>
  </si>
  <si>
    <t xml:space="preserve">Three stage-gated equity rounds totalling Rs.1,100 Cr (Seed 450, Series A 400, Series B 250) plus Rs.200 Cr venture/PSU debt and Rs.26.5 Cr iDEX/ADITI non-dilutive. BG cash margin 10% (existing facility) frees ~Rs.374 Cr of deployable cash vs legacy 100% margin assumption. No reliance on grant capital for survival - all milestones cash-self-sustaining post-Series B.</t>
  </si>
  <si>
    <t xml:space="preserve">Key risks &amp; mitigants</t>
  </si>
  <si>
    <t xml:space="preserve">Schedule slip on hardware qualification (mitigant: small cert team + partner-lab leverage + MVP-first releases). Export-control restrictions (mitigant: dual variant ITAR/EAR99 builds, DCS workflow). Talent (mitigant: cleared-engineer pipeline + remote-first software roles + university programs). Customer concentration (mitigant: 6-vertical diversification + allied FMS pipeline from Y2).</t>
  </si>
  <si>
    <t xml:space="preserve">How to read this workbook</t>
  </si>
  <si>
    <t xml:space="preserve">Strategy to Roadmap to Platform to ReuseMatrix to V1..V6 (verticals) to Revenue (consolidated) to Headcount to R&amp;D_NRE (with reuse savings) to Capex to Opex to P&amp;L to CashFlow to Funding to BreakEven to KPIs.</t>
  </si>
  <si>
    <t xml:space="preserve">Competitive landscape - multi-domain platform vs. single-point vendors</t>
  </si>
  <si>
    <t xml:space="preserve">Capability dimension</t>
  </si>
  <si>
    <t xml:space="preserve">Our platform firm</t>
  </si>
  <si>
    <t xml:space="preserve">Tier-1 prime (broad)</t>
  </si>
  <si>
    <t xml:space="preserve">Specialty RF vendor</t>
  </si>
  <si>
    <t xml:space="preserve">C-UAS pure-play</t>
  </si>
  <si>
    <t xml:space="preserve">UAS pure-play</t>
  </si>
  <si>
    <t xml:space="preserve">AUV/USV specialist</t>
  </si>
  <si>
    <t xml:space="preserve">Defense AI startup</t>
  </si>
  <si>
    <t xml:space="preserve">Multi-domain coverage (Air/Land/Sea)</t>
  </si>
  <si>
    <t xml:space="preserve">RF / AESA capability</t>
  </si>
  <si>
    <t xml:space="preserve">EW / SIGINT capability</t>
  </si>
  <si>
    <t xml:space="preserve">Counter-UAS integrated solutions</t>
  </si>
  <si>
    <t xml:space="preserve">MALE-class UAS platforms</t>
  </si>
  <si>
    <t xml:space="preserve">Autonomous AUV/USV</t>
  </si>
  <si>
    <t xml:space="preserve">Military AI / sensor fusion</t>
  </si>
  <si>
    <t xml:space="preserve">Platform reuse / amortized NRE</t>
  </si>
  <si>
    <t xml:space="preserve">Time-to-market for new variants</t>
  </si>
  <si>
    <t xml:space="preserve">Cost-to-deliver (NRE per $ revenue)</t>
  </si>
  <si>
    <t xml:space="preserve">Cleared workforce / accredited facilities</t>
  </si>
  <si>
    <t xml:space="preserve">Export / FMS readiness</t>
  </si>
  <si>
    <t xml:space="preserve">Software/AI revenue mix (margin)</t>
  </si>
  <si>
    <t xml:space="preserve">Bid agility (mid-tier programs)</t>
  </si>
  <si>
    <t xml:space="preserve">Capital efficiency (rev per $ raised)</t>
  </si>
  <si>
    <t xml:space="preserve">Composite score</t>
  </si>
  <si>
    <t xml:space="preserve">Positioning summary</t>
  </si>
  <si>
    <t xml:space="preserve">Score legend</t>
  </si>
  <si>
    <t xml:space="preserve">0 = absent  |  1 = weak  |  2 = partial  |  3 = strong  |  4 = leader</t>
  </si>
  <si>
    <t xml:space="preserve">Differentiation</t>
  </si>
  <si>
    <t xml:space="preserve">Only the platform firm spans all three domains AND amortizes RF/DSP/SysEng/SW/AI across six product lines. Pure-plays may lead in their narrow niche, but pay full NRE per product and lack cross-domain pull-through revenue.</t>
  </si>
  <si>
    <t xml:space="preserve">Primes vs. us</t>
  </si>
  <si>
    <t xml:space="preserve">Primes lead in scale, customer access and clearances; we lead in cost-to-deliver, time-to-market, and platform reuse. We compete on the 'mid-tier program' tier (sub-INR 500 Cr) where T1 primes are unprofitable.</t>
  </si>
  <si>
    <t xml:space="preserve">Path to category leadership</t>
  </si>
  <si>
    <t xml:space="preserve">Win 1 marquee program per vertical in Y2–Y5; convert into reference accounts; build allied/FMS pipeline; monetize the Mil-AI / autonomy stack as a software product attached to all hardware lines.</t>
  </si>
  <si>
    <t xml:space="preserve">10-Year Strategic Roadmap - Platform Waves &amp; Vertical Milestones</t>
  </si>
  <si>
    <t xml:space="preserve">Track</t>
  </si>
  <si>
    <t xml:space="preserve">Phase / focus</t>
  </si>
  <si>
    <t xml:space="preserve">Platform M1: RF</t>
  </si>
  <si>
    <t xml:space="preserve">Carried over from ESM - productize</t>
  </si>
  <si>
    <t xml:space="preserve">Q</t>
  </si>
  <si>
    <t xml:space="preserve">S</t>
  </si>
  <si>
    <t xml:space="preserve">X</t>
  </si>
  <si>
    <t xml:space="preserve">Platform M2: DSP</t>
  </si>
  <si>
    <t xml:space="preserve">Platform M3: SysEng</t>
  </si>
  <si>
    <t xml:space="preserve">MIL-STD / integration framework</t>
  </si>
  <si>
    <t xml:space="preserve">D</t>
  </si>
  <si>
    <t xml:space="preserve">Platform M4: SW</t>
  </si>
  <si>
    <t xml:space="preserve">Mission SW / C2 - productize</t>
  </si>
  <si>
    <t xml:space="preserve">Platform M5: AI/ML</t>
  </si>
  <si>
    <t xml:space="preserve">Autonomy / fusion (new build)</t>
  </si>
  <si>
    <t xml:space="preserve">V2 EW &amp; SIGINT</t>
  </si>
  <si>
    <t xml:space="preserve">ESM in production Day-1 + scale-up</t>
  </si>
  <si>
    <t xml:space="preserve">V6 Military AI</t>
  </si>
  <si>
    <t xml:space="preserve">Edge AI + Cloud SaaS - ship Y1</t>
  </si>
  <si>
    <t xml:space="preserve">V1 AESA Radar</t>
  </si>
  <si>
    <t xml:space="preserve">Variants A/B/C - qualify Y1 ship Y2</t>
  </si>
  <si>
    <t xml:space="preserve">V3 C-UAS</t>
  </si>
  <si>
    <t xml:space="preserve">MVP Y2 - multi-layer integrated</t>
  </si>
  <si>
    <t xml:space="preserve">V5 Autonomous AUV/USV</t>
  </si>
  <si>
    <t xml:space="preserve">Small AUV Y3 to large AUV + USV</t>
  </si>
  <si>
    <t xml:space="preserve">R</t>
  </si>
  <si>
    <t xml:space="preserve">V4 MALE UAS</t>
  </si>
  <si>
    <t xml:space="preserve">Airframe + airworthiness (longest)</t>
  </si>
  <si>
    <t xml:space="preserve">Facilities &amp; cert</t>
  </si>
  <si>
    <t xml:space="preserve">Partner labs Y1-Y2 to owned Y3+</t>
  </si>
  <si>
    <t xml:space="preserve">Funding milestones</t>
  </si>
  <si>
    <t xml:space="preserve">SeedtoAtoBtoCtoD (smaller late stages)</t>
  </si>
  <si>
    <t xml:space="preserve">Export / FMS</t>
  </si>
  <si>
    <t xml:space="preserve">DCS approvals + allied bids from Y2</t>
  </si>
  <si>
    <t xml:space="preserve">Legend</t>
  </si>
  <si>
    <t xml:space="preserve">Research / seed</t>
  </si>
  <si>
    <t xml:space="preserve">Develop</t>
  </si>
  <si>
    <t xml:space="preserve">Qualify / cert</t>
  </si>
  <si>
    <t xml:space="preserve">Ship / scale</t>
  </si>
  <si>
    <t xml:space="preserve">Export / scale-out</t>
  </si>
  <si>
    <t xml:space="preserve">Shared Platform Modules - Investment Profile &amp; Maturity (TRL-style 0..1)</t>
  </si>
  <si>
    <t xml:space="preserve">Module</t>
  </si>
  <si>
    <t xml:space="preserve">Scope</t>
  </si>
  <si>
    <t xml:space="preserve">A. Platform NRE investment by module (₹ Cr)</t>
  </si>
  <si>
    <t xml:space="preserve">RF / Microwave (T/R modules, receivers, antennas, GaN MMICs)</t>
  </si>
  <si>
    <t xml:space="preserve">X/S/Ku-band T/R modules, GaN PA/LNA, beamforming, antenna design - carried over from ESM, now extended to AESA and C-UAS.</t>
  </si>
  <si>
    <t xml:space="preserve">DSP / Signal Processing (FPGA, SDR, beamforming)</t>
  </si>
  <si>
    <t xml:space="preserve">Real-time FPGA pipelines, SDR firmware, DBF - already fielded in ESM; reused across Radar, C-UAS, AI sensor fusion.</t>
  </si>
  <si>
    <t xml:space="preserve">Systems Engineering (mech, thermal, MIL-STD, integration)</t>
  </si>
  <si>
    <t xml:space="preserve">MIL-STD-810/461/704 hardening, mechanical/thermal, V&amp;V - every product line consumes this.</t>
  </si>
  <si>
    <t xml:space="preserve">Embedded &amp; Mission Software (RTOS, mission systems, C2)</t>
  </si>
  <si>
    <t xml:space="preserve">RTOS, mission computer SW, C2 interfaces, cybersecurity, MOSA/FACE - productized early, shipped with ESM and Mil-AI in Y1.</t>
  </si>
  <si>
    <t xml:space="preserve">AI / ML (computer vision, sensor fusion, autonomy, MLOps)</t>
  </si>
  <si>
    <t xml:space="preserve">CV, sensor fusion, autonomy stack, MLOps - fastest-growing module; heaviest reuse in C-UAS, UAS, AUV/USV, MilAI.</t>
  </si>
  <si>
    <t xml:space="preserve">Total platform NRE</t>
  </si>
  <si>
    <t xml:space="preserve">Sum of all module investment</t>
  </si>
  <si>
    <t xml:space="preserve">Cumulative platform NRE</t>
  </si>
  <si>
    <t xml:space="preserve">B. Platform module maturity (0..1)  ×  global reuse multiplier</t>
  </si>
  <si>
    <t xml:space="preserve">TRL-style progression - used as reuse strength</t>
  </si>
  <si>
    <t xml:space="preserve">C. Effective reuse strength per module (= maturity × multiplier, capped 1)</t>
  </si>
  <si>
    <t xml:space="preserve">RF / Microwave (T/R modules, receivers, antennas, GaN MMICs) - effective</t>
  </si>
  <si>
    <t xml:space="preserve">DSP / Signal Processing (FPGA, SDR, beamforming) - effective</t>
  </si>
  <si>
    <t xml:space="preserve">Systems Engineering (mech, thermal, MIL-STD, integration) - effective</t>
  </si>
  <si>
    <t xml:space="preserve">Embedded &amp; Mission Software (RTOS, mission systems, C2) - effective</t>
  </si>
  <si>
    <t xml:space="preserve">AI / ML (computer vision, sensor fusion, autonomy, MLOps) - effective</t>
  </si>
  <si>
    <t xml:space="preserve">R&amp;D Buckets - Evidence-led Platform NRE Capitalisation</t>
  </si>
  <si>
    <t xml:space="preserve">Policy</t>
  </si>
  <si>
    <t xml:space="preserve">Evidence-led: research is expensed; only qualifying development is capitalised; non-eligible development is expensed.</t>
  </si>
  <si>
    <t xml:space="preserve">A. Source Platform NRE by module (from Platform sheet)</t>
  </si>
  <si>
    <t xml:space="preserve">Source / Check</t>
  </si>
  <si>
    <t xml:space="preserve">RF / Microwave</t>
  </si>
  <si>
    <t xml:space="preserve">DSP / Signal Processing</t>
  </si>
  <si>
    <t xml:space="preserve">Systems Engineering</t>
  </si>
  <si>
    <t xml:space="preserve">Embedded &amp; Mission Software</t>
  </si>
  <si>
    <t xml:space="preserve">AI / ML</t>
  </si>
  <si>
    <t xml:space="preserve">Total Platform NRE</t>
  </si>
  <si>
    <t xml:space="preserve">Check to Platform!D11:M11</t>
  </si>
  <si>
    <t xml:space="preserve">B. Research - expensed % (input)</t>
  </si>
  <si>
    <t xml:space="preserve">Accounting treatment</t>
  </si>
  <si>
    <t xml:space="preserve">Research phase - expense immediately</t>
  </si>
  <si>
    <t xml:space="preserve">C. Development - capitalised % (input)</t>
  </si>
  <si>
    <t xml:space="preserve">Qualifying development - capitalise</t>
  </si>
  <si>
    <t xml:space="preserve">D. Development - expensed / not capitalisation eligible % (calculated)</t>
  </si>
  <si>
    <t xml:space="preserve">Formula</t>
  </si>
  <si>
    <t xml:space="preserve">1 - Research% - Capitalised%</t>
  </si>
  <si>
    <t xml:space="preserve">E. Bucket % check (must equal 100%)</t>
  </si>
  <si>
    <t xml:space="preserve">Check</t>
  </si>
  <si>
    <t xml:space="preserve">Research + capitalised + non-eligible</t>
  </si>
  <si>
    <t xml:space="preserve">Check status</t>
  </si>
  <si>
    <t xml:space="preserve">OK if all years/modules = 100%</t>
  </si>
  <si>
    <t xml:space="preserve">F. Research - expensed amount (INR Cr)</t>
  </si>
  <si>
    <t xml:space="preserve">Source NRE x Research%</t>
  </si>
  <si>
    <t xml:space="preserve">Total research expensed</t>
  </si>
  <si>
    <t xml:space="preserve">G. Development - capitalised amount (INR Cr)</t>
  </si>
  <si>
    <t xml:space="preserve">Source NRE x Capitalised%</t>
  </si>
  <si>
    <t xml:space="preserve">Total development capitalised</t>
  </si>
  <si>
    <t xml:space="preserve">H. Development - expensed / not capitalisation eligible amount (INR Cr)</t>
  </si>
  <si>
    <t xml:space="preserve">Source NRE x Non-eligible development%</t>
  </si>
  <si>
    <t xml:space="preserve">Total development expensed / not eligible</t>
  </si>
  <si>
    <t xml:space="preserve">I. Financial statement outputs</t>
  </si>
  <si>
    <t xml:space="preserve">Output</t>
  </si>
  <si>
    <t xml:space="preserve">Formula / destination</t>
  </si>
  <si>
    <t xml:space="preserve">Total book-expensed Platform R&amp;D</t>
  </si>
  <si>
    <t xml:space="preserve">Research expensed + development expensed / not eligible</t>
  </si>
  <si>
    <t xml:space="preserve">Capitalised R&amp;D additions</t>
  </si>
  <si>
    <t xml:space="preserve">Feeds R&amp;D_NRE row 16 and CashFlow CFI</t>
  </si>
  <si>
    <t xml:space="preserve">Capitalised R&amp;D additions / Platform NRE</t>
  </si>
  <si>
    <t xml:space="preserve">Amortisation of capitalised R&amp;D</t>
  </si>
  <si>
    <t xml:space="preserve">Straight-line using Assumptions!C58</t>
  </si>
  <si>
    <t xml:space="preserve">Gross capitalised R&amp;D</t>
  </si>
  <si>
    <t xml:space="preserve">Cumulative capitalised development</t>
  </si>
  <si>
    <t xml:space="preserve">Accumulated amortisation</t>
  </si>
  <si>
    <t xml:space="preserve">Cumulative amortisation</t>
  </si>
  <si>
    <t xml:space="preserve">Gross capitalised R&amp;D - accumulated amortisation</t>
  </si>
  <si>
    <t xml:space="preserve">Bucketed Platform NRE check</t>
  </si>
  <si>
    <t xml:space="preserve">Should be zero</t>
  </si>
  <si>
    <t xml:space="preserve">J. Tax bridge memo (for P&amp;L tax section)</t>
  </si>
  <si>
    <t xml:space="preserve">Book amortisation add-back</t>
  </si>
  <si>
    <t xml:space="preserve">Added back to book PBT for tax-basis PBT</t>
  </si>
  <si>
    <t xml:space="preserve">Eligible capitalised development R&amp;D deduction</t>
  </si>
  <si>
    <t xml:space="preserve">Deducted in tax-basis PBT subject to CA review</t>
  </si>
  <si>
    <t xml:space="preserve">Tax-basis PBT after R&amp;D bridge</t>
  </si>
  <si>
    <t xml:space="preserve">Book PBT + amortisation add-back - current cap R&amp;D deduction</t>
  </si>
  <si>
    <t xml:space="preserve">Notes</t>
  </si>
  <si>
    <t xml:space="preserve">Research is expensed immediately. Capitalised development requires evidence under Ind AS 38 / AS 26. Non-eligible development is expensed for book purposes; tax treatment is modelled separately in the P&amp;L bridge and remains subject to CA review.</t>
  </si>
  <si>
    <t xml:space="preserve">gross x (1 - reuse savings); all values in INR Crores</t>
  </si>
  <si>
    <t xml:space="preserve">A. Module composition per vertical (rows sum to 100%) - input</t>
  </si>
  <si>
    <t xml:space="preserve">M1_RF</t>
  </si>
  <si>
    <t xml:space="preserve">M2_DSP</t>
  </si>
  <si>
    <t xml:space="preserve">M3_SYSENG</t>
  </si>
  <si>
    <t xml:space="preserve">M4_SW</t>
  </si>
  <si>
    <t xml:space="preserve">M5_AI</t>
  </si>
  <si>
    <t xml:space="preserve">Row total (check)</t>
  </si>
  <si>
    <t xml:space="preserve">V1 - AESA Radar</t>
  </si>
  <si>
    <t xml:space="preserve">V2 - Electronic Warfare &amp; SIGINT</t>
  </si>
  <si>
    <t xml:space="preserve">V3 - Counter-UAS (Anti-Drone)</t>
  </si>
  <si>
    <t xml:space="preserve">V4 - MALE-class ISR UAS</t>
  </si>
  <si>
    <t xml:space="preserve">V5 - Autonomous Systems (AUV/USV)</t>
  </si>
  <si>
    <t xml:space="preserve">V6 - Military AI Systems</t>
  </si>
  <si>
    <t xml:space="preserve">B. Effective reuse savings % per vertical per year  (= composition × platform maturity)</t>
  </si>
  <si>
    <t xml:space="preserve">C. Vertical-specific NRE - gross (standalone) vs leveraged (post platform reuse)</t>
  </si>
  <si>
    <t xml:space="preserve">Vertical / line</t>
  </si>
  <si>
    <t xml:space="preserve">Driver</t>
  </si>
  <si>
    <t xml:space="preserve">AESA Gross NRE</t>
  </si>
  <si>
    <t xml:space="preserve">Total ~209 INR Cr over 10y</t>
  </si>
  <si>
    <t xml:space="preserve">Gross NRE</t>
  </si>
  <si>
    <t xml:space="preserve">Gross = Standalone NRE × Gross Drivers, Net = Gross × (1 − Reuse Savings), where savings from 2026 onwards</t>
  </si>
  <si>
    <t xml:space="preserve">V1 NRE savings from platform - ₹ Cr/yr</t>
  </si>
  <si>
    <t xml:space="preserve">EW/SIGINT Gross NRE</t>
  </si>
  <si>
    <t xml:space="preserve">Total ~114 INR Cr over 10y</t>
  </si>
  <si>
    <t xml:space="preserve">EW/SIGINT</t>
  </si>
  <si>
    <t xml:space="preserve">Gross = Standalone NRE × Gross Drivers, Net = Gross × (1 − Reuse Savings)</t>
  </si>
  <si>
    <t xml:space="preserve">V2 NRE savings from platform - ₹ Cr/yr</t>
  </si>
  <si>
    <t xml:space="preserve">C-UAS Gross NRE</t>
  </si>
  <si>
    <t xml:space="preserve">Total ~152 INR Cr over 10y</t>
  </si>
  <si>
    <t xml:space="preserve">C-UAS</t>
  </si>
  <si>
    <t xml:space="preserve">V3 NRE savings from platform - ₹ Cr/yr</t>
  </si>
  <si>
    <t xml:space="preserve">MALE UAS Gross NRE</t>
  </si>
  <si>
    <t xml:space="preserve">Total ~523 INR Cr over 10y</t>
  </si>
  <si>
    <t xml:space="preserve">MALE UAS</t>
  </si>
  <si>
    <t xml:space="preserve">V4 NRE savings from platform - ₹ Cr/yr</t>
  </si>
  <si>
    <t xml:space="preserve">Autonomous Gross NRE</t>
  </si>
  <si>
    <t xml:space="preserve">Total ~247 INR Cr over 10y</t>
  </si>
  <si>
    <t xml:space="preserve">Autonomous Systems</t>
  </si>
  <si>
    <t xml:space="preserve">V5 NRE savings from platform - ₹ Cr/yr</t>
  </si>
  <si>
    <t xml:space="preserve">Mil AI Gross NRE</t>
  </si>
  <si>
    <t xml:space="preserve">Total ~105 INR Cr over 10y</t>
  </si>
  <si>
    <t xml:space="preserve">Mil AI / Analytics</t>
  </si>
  <si>
    <t xml:space="preserve">V6 NRE savings from platform - ₹ Cr/yr</t>
  </si>
  <si>
    <t xml:space="preserve">D. Portfolio NRE totals  (sum across V1..V6 + standalone platform investment)</t>
  </si>
  <si>
    <t xml:space="preserve">Aggregate line</t>
  </si>
  <si>
    <t xml:space="preserve">Σ Gross NRE (verticals, standalone)</t>
  </si>
  <si>
    <t xml:space="preserve">Σ Leveraged NRE (verticals, post-reuse)</t>
  </si>
  <si>
    <t xml:space="preserve">Σ Reuse savings (verticals)</t>
  </si>
  <si>
    <t xml:space="preserve">+ Platform NRE (shared, standalone)</t>
  </si>
  <si>
    <t xml:space="preserve">TOTAL R&amp;D / NRE expense</t>
  </si>
  <si>
    <t xml:space="preserve">Global planning assumptions</t>
  </si>
  <si>
    <t xml:space="preserve">Value</t>
  </si>
  <si>
    <t xml:space="preserve">Planning currency</t>
  </si>
  <si>
    <t xml:space="preserve">INR Crores</t>
  </si>
  <si>
    <t xml:space="preserve">Displayed in INR Crores (₹ Cr). Underlying inputs in absolute INR; 1 Cr = 10^7 INR; 1 USD = 95 INR.</t>
  </si>
  <si>
    <t xml:space="preserve">Planning horizon (years)</t>
  </si>
  <si>
    <t xml:space="preserve">10-year strategic horizon.</t>
  </si>
  <si>
    <t xml:space="preserve">Corporate tax rate</t>
  </si>
  <si>
    <t xml:space="preserve">Blended.</t>
  </si>
  <si>
    <t xml:space="preserve">Discount rate (WACC)</t>
  </si>
  <si>
    <t xml:space="preserve">Used for NPV - 18% reflects unlisted Indian defense unlisted equity cost-of-capital (β~1.5, ERP 8-9%, Rf 7%).</t>
  </si>
  <si>
    <t xml:space="preserve">Cost escalation (annual)</t>
  </si>
  <si>
    <t xml:space="preserve">General wages + opex inflator (COGS/S&amp;M/G&amp;A roles &amp; opex).</t>
  </si>
  <si>
    <t xml:space="preserve">R&amp;D salary escalation (annual)</t>
  </si>
  <si>
    <t xml:space="preserve">[M9 fix: reduced from 12% to 4% - aligns with general Indian wage growth long-term. 12% was unsustainable over 10y.]</t>
  </si>
  <si>
    <t xml:space="preserve">BoM learning curve (per doubling)</t>
  </si>
  <si>
    <t xml:space="preserve">Wright's-law: cost factor at double cumulative volume.</t>
  </si>
  <si>
    <t xml:space="preserve">DSO (days sales outstanding)</t>
  </si>
  <si>
    <t xml:space="preserve">Realistic blended DSO: iDEX/Make-II ~90-120d, MoD CapEx ~240-365d, export ~120d. Blended 180d.</t>
  </si>
  <si>
    <t xml:space="preserve">DPO (days payable outstanding)</t>
  </si>
  <si>
    <t xml:space="preserve">Supplier terms net-45 typical for cleared vendors.</t>
  </si>
  <si>
    <t xml:space="preserve">Inventory days</t>
  </si>
  <si>
    <t xml:space="preserve">Long-lead RF/FPGA components offset by JIT mission-SW &amp; VMI.</t>
  </si>
  <si>
    <t xml:space="preserve">- (row retired)</t>
  </si>
  <si>
    <t xml:space="preserve">Legacy WC% removed. WC is now driven by DSO/DPO/Inventory schedule. Row left blank to preserve cell references below.</t>
  </si>
  <si>
    <t xml:space="preserve">S&amp;M as % of revenue</t>
  </si>
  <si>
    <t xml:space="preserve">Sales, BD, demos, exhibitions.</t>
  </si>
  <si>
    <t xml:space="preserve">G&amp;A as % of revenue</t>
  </si>
  <si>
    <t xml:space="preserve">Finance/HR/Legal/Compliance.</t>
  </si>
  <si>
    <t xml:space="preserve">Bid &amp; Proposal as % of revenue</t>
  </si>
  <si>
    <t xml:space="preserve">Capture/B&amp;P overhead in defense.</t>
  </si>
  <si>
    <t xml:space="preserve">Export control overhead</t>
  </si>
  <si>
    <t xml:space="preserve">Annual base, escalating.</t>
  </si>
  <si>
    <t xml:space="preserve">Cybersecurity / CMMC L3 overhead</t>
  </si>
  <si>
    <t xml:space="preserve">Quality / AS9100 / CMMI overhead</t>
  </si>
  <si>
    <t xml:space="preserve">Performance guarantee rate (PBG)</t>
  </si>
  <si>
    <t xml:space="preserve">PBG % of contract value held by customer's bank through delivery period.</t>
  </si>
  <si>
    <t xml:space="preserve">Advance payment rate</t>
  </si>
  <si>
    <t xml:space="preserve">Mobilization advance from MoD typical 15% against ABG.</t>
  </si>
  <si>
    <t xml:space="preserve">Bank guarantee fee (annual)</t>
  </si>
  <si>
    <t xml:space="preserve">Reduced from 1.5% given Rs.150 Cr land/factory collateral provides physical security to issuing bank.</t>
  </si>
  <si>
    <t xml:space="preserve">Cash collateral requirement</t>
  </si>
  <si>
    <t xml:space="preserve">See Backlog!63</t>
  </si>
  <si>
    <t xml:space="preserve">Year-specific schedule applied in Backlog!D63:M63 - Y1 100%, Y2 100%, Y3 50%, Y4 30%, Y5-Y10 20% (full collateral while bank track-record is being built, tapering as PBG/ABG history matures).</t>
  </si>
  <si>
    <t xml:space="preserve">Min cash reserve target</t>
  </si>
  <si>
    <t xml:space="preserve">Triggers funding rounds.</t>
  </si>
  <si>
    <t xml:space="preserve">Platform reuse maturity multiplier</t>
  </si>
  <si>
    <t xml:space="preserve">Scenario lever on reuse savings (1.0 = base).</t>
  </si>
  <si>
    <t xml:space="preserve">Defense-specific operating context</t>
  </si>
  <si>
    <t xml:space="preserve">ASP_elasticity</t>
  </si>
  <si>
    <t xml:space="preserve">ASP price erosion exponent (ASP elasticity to BoM): 0.5 means ASP declines with sqrt(BoM).</t>
  </si>
  <si>
    <t xml:space="preserve">BoM_floor</t>
  </si>
  <si>
    <t xml:space="preserve">Minimum BoM as fraction of starting BoM (learning curve floor): 0.7 means BoM cannot fall below 70% of initial.</t>
  </si>
  <si>
    <t xml:space="preserve">Contract types</t>
  </si>
  <si>
    <t xml:space="preserve">Fixed-price (FP), Cost-plus-fixed-fee (CPFF), IDIQ, FMS/Direct Commercial Sale.</t>
  </si>
  <si>
    <t xml:space="preserve">Compliance baseline</t>
  </si>
  <si>
    <t xml:space="preserve">ITAR / EAR / CMMC L3 / AS9100 / CMMI L3 - modeled in Opex.</t>
  </si>
  <si>
    <t xml:space="preserve">Qualification cycles</t>
  </si>
  <si>
    <t xml:space="preserve">MIL-STD-810 (env), -461 (EMI/EMC), -704 (power), -1275/704 - modeled in Capex (test infra).</t>
  </si>
  <si>
    <t xml:space="preserve">Export model</t>
  </si>
  <si>
    <t xml:space="preserve">Direct Commercial Sale (DCS) + FMS-eligible variants; offset obligations factored in S&amp;M.</t>
  </si>
  <si>
    <t xml:space="preserve">IP / data rights</t>
  </si>
  <si>
    <t xml:space="preserve">Default to retain Government-Purpose Rights; unlimited rights only when negotiated separately.</t>
  </si>
  <si>
    <t xml:space="preserve">Defensive moats</t>
  </si>
  <si>
    <t xml:space="preserve">Platform IP + qualified BoM + cleared personnel + accredited facilities + customer references.</t>
  </si>
  <si>
    <t xml:space="preserve">MAT rate (Minimum Alternate Tax)</t>
  </si>
  <si>
    <t xml:space="preserve">India Sec 115JB book-profit floor. Excess over regular tax becomes MAT credit asset.</t>
  </si>
  <si>
    <t xml:space="preserve">Column convention (READ BEFORE EDITING)</t>
  </si>
  <si>
    <t xml:space="preserve">Y1 column varies by sheet</t>
  </si>
  <si>
    <t xml:space="preserve">Y1 = col C on: P&amp;L, CashFlow, BalanceSheet, BreakEven, KPIs (metric rows). Y1 = col D on: Revenue, Headcount, Capex, Opex, Funding, Backlog, V1-V6, R&amp;D_NRE, Platform, ReuseMatrix. Cross-sheet formulas compensate today. DO NOT INSERT COLUMNS without re-auditing every cross-sheet reference.</t>
  </si>
  <si>
    <t xml:space="preserve">ASP price-cost elasticity exponent</t>
  </si>
  <si>
    <t xml:space="preserve">Exponent linking ASP reduction to BoM cost reduction. 0.5 = square-root relationship.</t>
  </si>
  <si>
    <t xml:space="preserve">BoM floor (% of initial)</t>
  </si>
  <si>
    <t xml:space="preserve">Minimum BoM cost as % of initial BoM after full learning curve absorption.</t>
  </si>
  <si>
    <t xml:space="preserve">Learning curve doubling basis</t>
  </si>
  <si>
    <t xml:space="preserve">Logarithm base for Wrights-law learning curve (doubles of cumulative volume).</t>
  </si>
  <si>
    <t xml:space="preserve">USD to INR conversion rate</t>
  </si>
  <si>
    <t xml:space="preserve">Planning exchange rate for any USD-based inputs.</t>
  </si>
  <si>
    <t xml:space="preserve">Revenue recognition lag (months)</t>
  </si>
  <si>
    <t xml:space="preserve">Average lag from booking to revenue recognition for hardware programs.</t>
  </si>
  <si>
    <t xml:space="preserve">MAT credit asset treatment</t>
  </si>
  <si>
    <t xml:space="preserve">On-BS</t>
  </si>
  <si>
    <t xml:space="preserve">MAT credit recognized as deferred tax asset on Balance Sheet per Ind AS 12.</t>
  </si>
  <si>
    <t xml:space="preserve">BoM learning-curve base (% of initial BoM)</t>
  </si>
  <si>
    <t xml:space="preserve">Starting unit BoM relative to input. Used in MAX(floor, base × curve^LOG(cum_units,2)).</t>
  </si>
  <si>
    <t xml:space="preserve">Log base for cumulative units</t>
  </si>
  <si>
    <t xml:space="preserve">Wright curve doubling basis. Fixed at 2.</t>
  </si>
  <si>
    <t xml:space="preserve">Backlog &amp; revenue flow drivers</t>
  </si>
  <si>
    <t xml:space="preserve">Revenue lag from booking (months - HW)</t>
  </si>
  <si>
    <t xml:space="preserve">Average months from booking to revenue recognition for hardware. Range 12-18 months.</t>
  </si>
  <si>
    <t xml:space="preserve">Product Pricing &amp; Cost Assumptions</t>
  </si>
  <si>
    <t xml:space="preserve">Average months for software/SaaS. Range 3-12 months.</t>
  </si>
  <si>
    <t xml:space="preserve">ASP price-cost elasticity exponent (power applied to BoM ratio)</t>
  </si>
  <si>
    <t xml:space="preserve">ASP_Elasticity</t>
  </si>
  <si>
    <t xml:space="preserve">% of prior-year backlog to be delivered in current year, smoothing uneven spikes.</t>
  </si>
  <si>
    <t xml:space="preserve">BoM learning curve floor (% of starting BoM)</t>
  </si>
  <si>
    <t xml:space="preserve">BoM_Floor_Pct</t>
  </si>
  <si>
    <t xml:space="preserve">Min BoM expressed as pct of starting</t>
  </si>
  <si>
    <t xml:space="preserve">BoM_Min_Pct</t>
  </si>
  <si>
    <t xml:space="preserve">BoM doubling basis for LOG</t>
  </si>
  <si>
    <t xml:space="preserve">BoM_Doubling_Base</t>
  </si>
  <si>
    <t xml:space="preserve">R&amp;D Capitalization &amp; Amortization</t>
  </si>
  <si>
    <t xml:space="preserve">Platform NRE capitalization rate</t>
  </si>
  <si>
    <t xml:space="preserve">Platform_NRE_Cap_Rate</t>
  </si>
  <si>
    <t xml:space="preserve">Capitalized NRE amortization life (years)</t>
  </si>
  <si>
    <t xml:space="preserve">NRE_Amort_Life</t>
  </si>
  <si>
    <t xml:space="preserve">Vertical NRE amortization life (years)</t>
  </si>
  <si>
    <t xml:space="preserve">Vertical_NRE_Amort_Life</t>
  </si>
  <si>
    <t xml:space="preserve">Working Capital &amp; Funding</t>
  </si>
  <si>
    <t xml:space="preserve">BG collateral cash requirement (% of contract value)</t>
  </si>
  <si>
    <t xml:space="preserve">BG_Collateral_Pct</t>
  </si>
  <si>
    <t xml:space="preserve">Bank-confirmed cash margin against PBG/ABG = 10% flat (existing facility).</t>
  </si>
  <si>
    <t xml:space="preserve">Manufacturing &amp; Warranty</t>
  </si>
  <si>
    <t xml:space="preserve">Manufacturing overhead as % of direct material + labour</t>
  </si>
  <si>
    <t xml:space="preserve">Mfg_Overhead_Pct</t>
  </si>
  <si>
    <t xml:space="preserve">Warranty &amp; support burden as % of COGS</t>
  </si>
  <si>
    <t xml:space="preserve">Warranty_Pct</t>
  </si>
  <si>
    <t xml:space="preserve">READ ONLY SUPPORTING DETAIL - Revenue is recognized via Backlog!Section L (rows 89-95). Editing units/ASP here does NOT change consolidated revenue, but DOES rescale COGS (BoM x delivered_rev / V-sheet rev). Do not edit unless you intend to re-baseline the BoM ratio.</t>
  </si>
  <si>
    <t xml:space="preserve">V1 - AESA Radar  |  Domain: Air/Land/Sea (RF)  |  Launch: Y2</t>
  </si>
  <si>
    <t xml:space="preserve">Description</t>
  </si>
  <si>
    <t xml:space="preserve">Active Electronically Scanned Array radars - second product line; leverages partly-developed ESM RF &amp; DSP front-end. First demo Y2, first deliveries Y2.</t>
  </si>
  <si>
    <t xml:space="preserve">Line</t>
  </si>
  <si>
    <t xml:space="preserve">  Variant A - X-band Airborne</t>
  </si>
  <si>
    <t xml:space="preserve">ASP / unit (₹ Cr)</t>
  </si>
  <si>
    <t xml:space="preserve">yellow = input</t>
  </si>
  <si>
    <t xml:space="preserve">BoM / unit (₹ Cr)</t>
  </si>
  <si>
    <t xml:space="preserve">Units shipped (#)</t>
  </si>
  <si>
    <t xml:space="preserve">Revenue (units × ASP)</t>
  </si>
  <si>
    <t xml:space="preserve">COGS - BoM (units × BoM)</t>
  </si>
  <si>
    <t xml:space="preserve">Contribution margin / unit</t>
  </si>
  <si>
    <t xml:space="preserve">  Variant B - S-band Ground Surveillance</t>
  </si>
  <si>
    <t xml:space="preserve">  Variant C - X-band Naval Multi-function</t>
  </si>
  <si>
    <t xml:space="preserve">V1 totals</t>
  </si>
  <si>
    <t xml:space="preserve">Total COGS (BoM)</t>
  </si>
  <si>
    <t xml:space="preserve">Total units shipped</t>
  </si>
  <si>
    <t xml:space="preserve">Gross profit (Revenue − BoM COGS)</t>
  </si>
  <si>
    <t xml:space="preserve">Cumulative revenue</t>
  </si>
  <si>
    <t xml:space="preserve">V2 - Electronic Warfare &amp; SIGINT  |  Domain: Air/Land/Sea (RF + DSP)  |  Launch: Y1</t>
  </si>
  <si>
    <t xml:space="preserve">ESM/ELINT - already partly developed at start of plan. Day-1 focus is industrialization, qualification of remaining variants, and concurrent scale-up of production &amp; sales while other verticals are still in development.</t>
  </si>
  <si>
    <t xml:space="preserve">  EW-A - Naval ESM/ELINT Suite</t>
  </si>
  <si>
    <t xml:space="preserve">  EW-B - Aerial ESM Pod (UAV/Manned)</t>
  </si>
  <si>
    <t xml:space="preserve">  EW-C - Anti-Drone Jammer (tactical)</t>
  </si>
  <si>
    <t xml:space="preserve">  EW-D - Ground SIGINT Station (strategic)</t>
  </si>
  <si>
    <t xml:space="preserve">V2 totals</t>
  </si>
  <si>
    <t xml:space="preserve">V3 - Counter-UAS (Anti-Drone)  |  Domain: Land/Air (RF + AI fusion)  |  Launch: Y2</t>
  </si>
  <si>
    <t xml:space="preserve">Multi-layered C-UAS: radar + RF + EO/IR + AI fusion + soft- and hard-kill effectors. Rapid product cycle - MVP fielded Y2 using shared RF/DSP/AI stack, scaled Y3+.</t>
  </si>
  <si>
    <t xml:space="preserve">  CUAS-A - Dismounted Soldier Kit</t>
  </si>
  <si>
    <t xml:space="preserve">  CUAS-B - Vehicle-Mounted System</t>
  </si>
  <si>
    <t xml:space="preserve">  CUAS-C - Fixed Site Integrated C-UAS</t>
  </si>
  <si>
    <t xml:space="preserve">V3 totals</t>
  </si>
  <si>
    <t xml:space="preserve">V4 - MALE-class ISR UAS  |  Domain: Air (SysEng + SW + AI)  |  Launch: Y4</t>
  </si>
  <si>
    <t xml:space="preserve">MALE UAV - longest cycle in the portfolio (airframe + airworthiness). Compressed via MOSA architecture and reuse of mission-computer/AI stack; baseline ISR ships Y4, mission variants Y5+.</t>
  </si>
  <si>
    <t xml:space="preserve">  UAS-A - MALE ISR baseline</t>
  </si>
  <si>
    <t xml:space="preserve">  UAS-B - MALE strike-capable</t>
  </si>
  <si>
    <t xml:space="preserve">  UAS-C - MALE SIGINT/EW mission variant</t>
  </si>
  <si>
    <t xml:space="preserve">V4 totals</t>
  </si>
  <si>
    <t xml:space="preserve">V5 - Autonomous Systems (AUV/USV)  |  Domain: Sea (SysEng + SW + AI)  |  Launch: Y3</t>
  </si>
  <si>
    <t xml:space="preserve">AUVs (small mine-hunting + large ASW) and USVs for persistent maritime surveillance. Rapid hull-iteration, autonomy stack reused from V6; small AUV ships Y3, large platforms Y4+.</t>
  </si>
  <si>
    <t xml:space="preserve">  AUV-A - Small AUV (mine-hunting / survey)</t>
  </si>
  <si>
    <t xml:space="preserve">  AUV-B - Large ASW-capable AUV</t>
  </si>
  <si>
    <t xml:space="preserve">  USV-A - Mid-size USV (ISR / C-UAS host)</t>
  </si>
  <si>
    <t xml:space="preserve">V5 totals</t>
  </si>
  <si>
    <t xml:space="preserve">V6 - Military AI Systems  |  Domain: Cross-domain (AI/SW)  |  Launch: Y1</t>
  </si>
  <si>
    <t xml:space="preserve">Software-led product family - Edge AI box + Cloud SaaS analytics + sensor-fusion middleware. Software-defined release cadence: shipping early, iterating quarterly.</t>
  </si>
  <si>
    <t xml:space="preserve">  AI-A - Edge AI mission box (per-platform)</t>
  </si>
  <si>
    <t xml:space="preserve">  AI-B – OIDSS (per yr/license)</t>
  </si>
  <si>
    <t xml:space="preserve">  AI-C - Sensor-fusion middleware license</t>
  </si>
  <si>
    <t xml:space="preserve">V6 totals</t>
  </si>
  <si>
    <t xml:space="preserve">READ ONLY SUPPORTING DETAIL upstream - Revenue (rows 6-12) is sourced from Backlog!D89:M95 (Section L deliveries). V1-V6 sheets retained as unit/ASP analytics only; their edits do not flow into consolidated revenue.</t>
  </si>
  <si>
    <t xml:space="preserve">Consolidated Revenue &amp; COGS by Vertical - Revenue now DERIVED from Backlog deliveries (% of opening backlog by vertical).</t>
  </si>
  <si>
    <t xml:space="preserve">V1-V6 unit-shipment plans retained as supporting detail; COGS scaled proportionally to preserve gross margin %.</t>
  </si>
  <si>
    <t xml:space="preserve">Stream</t>
  </si>
  <si>
    <t xml:space="preserve">Original V-sheet revenue (memo)</t>
  </si>
  <si>
    <t xml:space="preserve">A. Revenue by vertical (₹ Cr)</t>
  </si>
  <si>
    <t xml:space="preserve">Revenue</t>
  </si>
  <si>
    <t xml:space="preserve">TOTAL REVENUE</t>
  </si>
  <si>
    <t xml:space="preserve">B. Revenue mix (% of total)</t>
  </si>
  <si>
    <t xml:space="preserve">V1 mix</t>
  </si>
  <si>
    <t xml:space="preserve">V2 mix</t>
  </si>
  <si>
    <t xml:space="preserve">V3 mix</t>
  </si>
  <si>
    <t xml:space="preserve">V4 mix</t>
  </si>
  <si>
    <t xml:space="preserve">V5 mix</t>
  </si>
  <si>
    <t xml:space="preserve">V6 mix</t>
  </si>
  <si>
    <t xml:space="preserve">C. COGS - BoM by vertical (₹ Cr)</t>
  </si>
  <si>
    <t xml:space="preserve">COGS BoM</t>
  </si>
  <si>
    <t xml:space="preserve">TOTAL COGS - BoM</t>
  </si>
  <si>
    <t xml:space="preserve">D. Gross profit (Revenue − BoM COGS, before COGS personnel)</t>
  </si>
  <si>
    <t xml:space="preserve">Gross profit (BoM only)</t>
  </si>
  <si>
    <t xml:space="preserve">Note: Revenue = Backlog!Deliveries (rows 89-94). Edit per-vertical delivery rates in Backlog!D82:M87.</t>
  </si>
  <si>
    <t xml:space="preserve">COGS scaled: V-sheet BoM × (delivered revenue / V-sheet revenue) so gross margin % follows the underlying unit economics.</t>
  </si>
  <si>
    <t xml:space="preserve">Backlog, Pipeline &amp; Book-to-Bill - Defense Contract Mechanics</t>
  </si>
  <si>
    <t xml:space="preserve">Bookings = Backlog-driven contract awards. Backlog rolls forward (prior + bookings − recognized). Pipeline = Bookings / Pwin. Defense bookings typically lead revenue by 12–18 months for HW, 6–12 months for SW.</t>
  </si>
  <si>
    <t xml:space="preserve">Default</t>
  </si>
  <si>
    <t xml:space="preserve">A. Target book-to-bill ratios (scenario checks)</t>
  </si>
  <si>
    <t xml:space="preserve">  V1 - AESA Radar B:B</t>
  </si>
  <si>
    <t xml:space="preserve">  V2 - Electronic Warfare &amp; SIGINT B:B</t>
  </si>
  <si>
    <t xml:space="preserve">  V3 - Counter-UAS (Anti-Drone) B:B</t>
  </si>
  <si>
    <t xml:space="preserve">  V4 - MALE-class ISR UAS B:B</t>
  </si>
  <si>
    <t xml:space="preserve">  V5 - Autonomous Systems (AUV/USV) B:B</t>
  </si>
  <si>
    <t xml:space="preserve">  V6 - Military AI Systems B:B</t>
  </si>
  <si>
    <t xml:space="preserve">B. Probability of win (Pwin) on qualified pipeline (yellow inputs)</t>
  </si>
  <si>
    <t xml:space="preserve">  V1 Pwin</t>
  </si>
  <si>
    <t xml:space="preserve">  V2 Pwin</t>
  </si>
  <si>
    <t xml:space="preserve">  V3 Pwin</t>
  </si>
  <si>
    <t xml:space="preserve">  V4 Pwin</t>
  </si>
  <si>
    <t xml:space="preserve">  V5 Pwin</t>
  </si>
  <si>
    <t xml:space="preserve">  V6 Pwin</t>
  </si>
  <si>
    <t xml:space="preserve">C. Bookings (new contract awards) - input driver</t>
  </si>
  <si>
    <t xml:space="preserve">  V1 bookings</t>
  </si>
  <si>
    <t xml:space="preserve">  V2 bookings</t>
  </si>
  <si>
    <t xml:space="preserve">  V3 bookings</t>
  </si>
  <si>
    <t xml:space="preserve">  V4 bookings</t>
  </si>
  <si>
    <t xml:space="preserve">  V5 bookings</t>
  </si>
  <si>
    <t xml:space="preserve">  V6 bookings</t>
  </si>
  <si>
    <t xml:space="preserve">Σ Bookings (consolidated)</t>
  </si>
  <si>
    <t xml:space="preserve">D. Backlog roll-forward = prior + bookings − recognized revenue</t>
  </si>
  <si>
    <t xml:space="preserve">  V1 closing backlog</t>
  </si>
  <si>
    <t xml:space="preserve">  V2 closing backlog</t>
  </si>
  <si>
    <t xml:space="preserve">  V3 closing backlog</t>
  </si>
  <si>
    <t xml:space="preserve">  V4 closing backlog</t>
  </si>
  <si>
    <t xml:space="preserve">  V5 closing backlog</t>
  </si>
  <si>
    <t xml:space="preserve">  V6 closing backlog</t>
  </si>
  <si>
    <t xml:space="preserve">Σ Closing backlog (consolidated)</t>
  </si>
  <si>
    <t xml:space="preserve">E. Consolidated KPIs</t>
  </si>
  <si>
    <t xml:space="preserve">Consolidated book-to-bill</t>
  </si>
  <si>
    <t xml:space="preserve">Backlog coverage (months of revenue)</t>
  </si>
  <si>
    <t xml:space="preserve">Backlog growth Y/Y</t>
  </si>
  <si>
    <t xml:space="preserve">F. Derived book-to-bill (check = Bookings / Recognized Revenue)</t>
  </si>
  <si>
    <t xml:space="preserve">V1 AESA</t>
  </si>
  <si>
    <t xml:space="preserve">V2 EW / SIGINT</t>
  </si>
  <si>
    <t xml:space="preserve">V3 CUAS</t>
  </si>
  <si>
    <t xml:space="preserve">V5 Autonomous</t>
  </si>
  <si>
    <t xml:space="preserve">Σ Derived B:B</t>
  </si>
  <si>
    <t xml:space="preserve">G. Qualified pipeline (derived = Bookings / Pwin)</t>
  </si>
  <si>
    <t xml:space="preserve">  Advance payment inflow (adv % × bookings)</t>
  </si>
  <si>
    <t xml:space="preserve">  Memo: revenue recognized (consolidated)</t>
  </si>
  <si>
    <t xml:space="preserve">  Contract Liability - beginning balance</t>
  </si>
  <si>
    <t xml:space="preserve">  Advance amortized into recognized revenue</t>
  </si>
  <si>
    <t xml:space="preserve">Contract Liability - ending balance (EoY)</t>
  </si>
  <si>
    <t xml:space="preserve">  Net change in contract liability (inflow − amortization)</t>
  </si>
  <si>
    <t xml:space="preserve">I. Bank guarantees (PBG + ABG) &amp; restricted cash collateral</t>
  </si>
  <si>
    <t xml:space="preserve">  Advance Bank Guarantee outstanding (= CL EoY)</t>
  </si>
  <si>
    <t xml:space="preserve">  Performance Bank Guarantee outstanding (PBG % × closing backlog)</t>
  </si>
  <si>
    <t xml:space="preserve">Total guarantees outstanding (ABG + PBG)</t>
  </si>
  <si>
    <t xml:space="preserve">  Restricted cash (collateral % x total guarantees) - schedule: Y1-Y2 100%, Y3 50%, Y4 30%, Y5+ 20%</t>
  </si>
  <si>
    <t xml:space="preserve">Bank guarantee fee (annual % × outstanding)</t>
  </si>
  <si>
    <t xml:space="preserve">Notes: Bookings are independent inputs. Closing backlog = opening + bookings − DELIVERIES (per-vertical % of opening backlog).</t>
  </si>
  <si>
    <t xml:space="preserve">B:B &gt; 1 = backlog growing (healthy growth phase); B:B near 1 = mature steady-state; B:B &lt; 1 = backlog shrinking.</t>
  </si>
  <si>
    <t xml:space="preserve">Defense HW typically has 12–18 month lag from award (booking) to delivery (recognized revenue); SW/SaaS 3–12 months.</t>
  </si>
  <si>
    <t xml:space="preserve">Pwin defaults are conservative new-age prime values - ESM higher (40%) due to existing customer relationships.</t>
  </si>
  <si>
    <t xml:space="preserve">Pipeline = Bookings / Pwin is the qualified opportunity value the BD org must keep loaded for the bookings plan.</t>
  </si>
  <si>
    <t xml:space="preserve">Edit yellow cells in sections A and B to model scenarios (e.g., aggressive growth: lift early B:B for V4 to 3.5).</t>
  </si>
  <si>
    <t xml:space="preserve">Advance payments (15%) collected at award generate a Contract Liability that amortizes as revenue is recognized.</t>
  </si>
  <si>
    <t xml:space="preserve">'Parks cash at the bank (100% collateral) to back performance bank guarantees &amp; advance bank guarantees</t>
  </si>
  <si>
    <t xml:space="preserve">K. Opening backlog (carried forward from prior-year closing)</t>
  </si>
  <si>
    <t xml:space="preserve">  V1 - AESA Radar</t>
  </si>
  <si>
    <t xml:space="preserve">  V2 - EW &amp; SIGINT</t>
  </si>
  <si>
    <t xml:space="preserve">  V3 - Counter-UAS</t>
  </si>
  <si>
    <t xml:space="preserve">  V4 - MALE UAS</t>
  </si>
  <si>
    <t xml:space="preserve">  V5 - Autonomous</t>
  </si>
  <si>
    <t xml:space="preserve">  V6 - Military AI</t>
  </si>
  <si>
    <t xml:space="preserve">L. Delivery schedule - per-vertical % of opening backlog recognized as revenue</t>
  </si>
  <si>
    <t xml:space="preserve">  V1 - AESA Radar delivery rate</t>
  </si>
  <si>
    <t xml:space="preserve">  V2 - EW &amp; SIGINT delivery rate</t>
  </si>
  <si>
    <t xml:space="preserve">  V3 - Counter-UAS delivery rate</t>
  </si>
  <si>
    <t xml:space="preserve">  V4 - MALE UAS delivery rate</t>
  </si>
  <si>
    <t xml:space="preserve">  V5 - Autonomous delivery rate</t>
  </si>
  <si>
    <t xml:space="preserve">  V6 - Military AI delivery rate</t>
  </si>
  <si>
    <t xml:space="preserve">  Deliveries: V1 - AESA Radar</t>
  </si>
  <si>
    <t xml:space="preserve">  Deliveries: V2 - EW &amp; SIGINT</t>
  </si>
  <si>
    <t xml:space="preserve">  Deliveries: V3 - Counter-UAS</t>
  </si>
  <si>
    <t xml:space="preserve">  Deliveries: V4 - MALE UAS</t>
  </si>
  <si>
    <t xml:space="preserve">  Deliveries: V5 - Autonomous</t>
  </si>
  <si>
    <t xml:space="preserve">  Deliveries: V6 - Military AI</t>
  </si>
  <si>
    <t xml:space="preserve">  Σ Deliveries (revenue recognized)</t>
  </si>
  <si>
    <t xml:space="preserve">N. Notes on restructured Backlog flow</t>
  </si>
  <si>
    <t xml:space="preserve">  Bookings are now INDEPENDENT static inputs (not derived from revenue).</t>
  </si>
  <si>
    <t xml:space="preserve">  Closing backlog = Opening + Bookings - Deliveries.</t>
  </si>
  <si>
    <t xml:space="preserve">  Delivery ratio bridges opening backlog to implied revenue.</t>
  </si>
  <si>
    <t xml:space="preserve">  Revenue is now FULLY DERIVED from Backlog deliveries (Section L drives Revenue sheet).</t>
  </si>
  <si>
    <t xml:space="preserve">  Edit yellow cells in Section L (D82:M87) to tune per-vertical recognition rates.</t>
  </si>
  <si>
    <t xml:space="preserve">Headcount Plan &amp; Fully-Loaded Personnel Cost</t>
  </si>
  <si>
    <t xml:space="preserve">Role</t>
  </si>
  <si>
    <t xml:space="preserve">Cost band (₹ L/yr)</t>
  </si>
  <si>
    <t xml:space="preserve">A. Headcount (# people)</t>
  </si>
  <si>
    <t xml:space="preserve">  RF / Microwave Engineers</t>
  </si>
  <si>
    <t xml:space="preserve">  DSP / FPGA Engineers</t>
  </si>
  <si>
    <t xml:space="preserve">  Antenna / Array Engineers</t>
  </si>
  <si>
    <t xml:space="preserve">  Embedded / Firmware Engineers</t>
  </si>
  <si>
    <t xml:space="preserve">  Systems Engineers (MIL-STD, ICD)</t>
  </si>
  <si>
    <t xml:space="preserve">  Mechanical / Thermal Engineers</t>
  </si>
  <si>
    <t xml:space="preserve">  Aerospace / Flight Systems Engineers</t>
  </si>
  <si>
    <t xml:space="preserve">  Naval / Subsea Systems Engineers</t>
  </si>
  <si>
    <t xml:space="preserve">  Autonomy / Controls Engineers</t>
  </si>
  <si>
    <t xml:space="preserve">  Mission Software Engineers</t>
  </si>
  <si>
    <t xml:space="preserve">  Cybersecurity Engineers</t>
  </si>
  <si>
    <t xml:space="preserve">  AI / ML Engineers (CV, fusion, autonomy)</t>
  </si>
  <si>
    <t xml:space="preserve">  MLOps / Data Engineers</t>
  </si>
  <si>
    <t xml:space="preserve">  Test &amp; Evaluation Engineers</t>
  </si>
  <si>
    <t xml:space="preserve">  Certification / Airworthiness</t>
  </si>
  <si>
    <t xml:space="preserve">  Manufacturing / Production Engineers</t>
  </si>
  <si>
    <t xml:space="preserve">  Production Technicians</t>
  </si>
  <si>
    <t xml:space="preserve">  Supply Chain / Procurement</t>
  </si>
  <si>
    <t xml:space="preserve">  Field Service / Customer Support</t>
  </si>
  <si>
    <t xml:space="preserve">  Capture / BD Leads (regional)</t>
  </si>
  <si>
    <t xml:space="preserve">  Solution Architects (presales)</t>
  </si>
  <si>
    <t xml:space="preserve">  Marketing / Comms</t>
  </si>
  <si>
    <t xml:space="preserve">  Executive / Leadership</t>
  </si>
  <si>
    <t xml:space="preserve">  Finance / Accounting</t>
  </si>
  <si>
    <t xml:space="preserve">  HR / People Ops</t>
  </si>
  <si>
    <t xml:space="preserve">  Legal / Contracts</t>
  </si>
  <si>
    <t xml:space="preserve">  Export Control / Compliance</t>
  </si>
  <si>
    <t xml:space="preserve">  IT / DevOps / Cloud</t>
  </si>
  <si>
    <t xml:space="preserve">B. Personnel cost by role (INR lakhs, escalated - R&amp;D separate from general)</t>
  </si>
  <si>
    <t xml:space="preserve">  RF / Microwave Engineers - cost</t>
  </si>
  <si>
    <t xml:space="preserve">R&amp;D</t>
  </si>
  <si>
    <t xml:space="preserve">  DSP / FPGA Engineers - cost</t>
  </si>
  <si>
    <t xml:space="preserve">  Antenna / Array Engineers - cost</t>
  </si>
  <si>
    <t xml:space="preserve">  Embedded / Firmware Engineers - cost</t>
  </si>
  <si>
    <t xml:space="preserve">  Systems Engineers (MIL-STD, ICD) - cost</t>
  </si>
  <si>
    <t xml:space="preserve">  Mechanical / Thermal Engineers - cost</t>
  </si>
  <si>
    <t xml:space="preserve">  Aerospace / Flight Systems Engineers - cost</t>
  </si>
  <si>
    <t xml:space="preserve">  Naval / Subsea Systems Engineers - cost</t>
  </si>
  <si>
    <t xml:space="preserve">  Autonomy / GNC / Controls Engineers - cost</t>
  </si>
  <si>
    <t xml:space="preserve">  Mission Software Engineers - cost</t>
  </si>
  <si>
    <t xml:space="preserve">  Cybersecurity Engineers - cost</t>
  </si>
  <si>
    <t xml:space="preserve">  AI / ML Engineers (CV, fusion, autonomy) - cost</t>
  </si>
  <si>
    <t xml:space="preserve">  MLOps / Data Engineers - cost</t>
  </si>
  <si>
    <t xml:space="preserve">  V&amp;V / Test &amp; Evaluation Engineers - cost</t>
  </si>
  <si>
    <t xml:space="preserve">  Certification / Airworthiness - cost</t>
  </si>
  <si>
    <t xml:space="preserve">  Manufacturing / Production Engineers - cost</t>
  </si>
  <si>
    <t xml:space="preserve">COGS</t>
  </si>
  <si>
    <t xml:space="preserve">  Production Technicians - cost</t>
  </si>
  <si>
    <t xml:space="preserve">  Supply Chain / Procurement - cost</t>
  </si>
  <si>
    <t xml:space="preserve">  Field Service / Customer Support - cost</t>
  </si>
  <si>
    <t xml:space="preserve">  Capture / BD Leads (regional) - cost</t>
  </si>
  <si>
    <t xml:space="preserve">S&amp;M</t>
  </si>
  <si>
    <t xml:space="preserve">  Solution Architects (presales) - cost</t>
  </si>
  <si>
    <t xml:space="preserve">  Marketing / Comms - cost</t>
  </si>
  <si>
    <t xml:space="preserve">  Executive / Leadership - cost</t>
  </si>
  <si>
    <t xml:space="preserve">G&amp;A</t>
  </si>
  <si>
    <t xml:space="preserve">  Finance / Accounting - cost</t>
  </si>
  <si>
    <t xml:space="preserve">  HR / People Ops - cost</t>
  </si>
  <si>
    <t xml:space="preserve">  Legal / Contracts - cost</t>
  </si>
  <si>
    <t xml:space="preserve">  Export Control / Compliance - cost</t>
  </si>
  <si>
    <t xml:space="preserve">  IT / DevOps / Cloud - cost</t>
  </si>
  <si>
    <t xml:space="preserve">C. Personnel cost by category</t>
  </si>
  <si>
    <t xml:space="preserve">R&amp;D personnel cost</t>
  </si>
  <si>
    <t xml:space="preserve">COGS personnel cost</t>
  </si>
  <si>
    <t xml:space="preserve">S&amp;M personnel cost</t>
  </si>
  <si>
    <t xml:space="preserve">G&amp;A personnel cost</t>
  </si>
  <si>
    <t xml:space="preserve">Note (M4 fix): Production headcount represents in-house core. Contract manufacturing at qualified partners absorbs ~30-40% of unit volumes (esp. V1 radar, V3 C-UAS) - embedded in COGS-BoM, not in this headcount table.</t>
  </si>
  <si>
    <t xml:space="preserve">Note (M6): Production ratios should be computed against HW-platform units only (V1 AESA, V3 C-UAS, V4 UAS, V5 AUV/USV, V2 ESM hardware). V6 (AI/SaaS) and V2 small EW kits are not capacity-constrained by mfg HC. With M4 scale-up and ~30-40% contract mfg, in-house complex-platform throughput is ~2-3 units/FTE/yr - within defense-industry norms.</t>
  </si>
  <si>
    <t xml:space="preserve">R&amp;D / NRE - Platform + Vertical-Specific (Post-Reuse) + R&amp;D Personnel</t>
  </si>
  <si>
    <t xml:space="preserve">Source</t>
  </si>
  <si>
    <t xml:space="preserve">Platform NRE (shared)</t>
  </si>
  <si>
    <t xml:space="preserve">Platform!Total</t>
  </si>
  <si>
    <t xml:space="preserve">Σ Leveraged vertical NRE (post-reuse)</t>
  </si>
  <si>
    <t xml:space="preserve">ReuseMatrix!Σ Leveraged</t>
  </si>
  <si>
    <t xml:space="preserve">R&amp;D personnel cost (from Headcount)</t>
  </si>
  <si>
    <t xml:space="preserve">Headcount!R&amp;D cost</t>
  </si>
  <si>
    <t xml:space="preserve">Memo: Σ Gross NRE (standalone, no platform reuse)</t>
  </si>
  <si>
    <t xml:space="preserve">ReuseMatrix!Σ Gross</t>
  </si>
  <si>
    <t xml:space="preserve">Memo (counterfactual): NRE avoided by platform reuse - vs. standalone build</t>
  </si>
  <si>
    <t xml:space="preserve">Total R&amp;D / NRE expense (P&amp;L line)</t>
  </si>
  <si>
    <t xml:space="preserve">TOTAL R&amp;D / NRE EXPENSE (P&amp;L) - excludes capitalized portion</t>
  </si>
  <si>
    <t xml:space="preserve">P&amp;L line; capitalized portion flows to BS intangibles (row 16) and amortises through D&amp;A on P&amp;L row 19 (Capex!D39 + R&amp;D_NRE!D18). No double-count.</t>
  </si>
  <si>
    <t xml:space="preserve">C4: Capitalize Platform NRE under Ind AS 38</t>
  </si>
  <si>
    <t xml:space="preserve">Weighted capitalisation rate (% Platform NRE)</t>
  </si>
  <si>
    <t xml:space="preserve">Annual rate from R&amp;D_Buckets</t>
  </si>
  <si>
    <t xml:space="preserve">Amortization life (years)</t>
  </si>
  <si>
    <t xml:space="preserve">Straight-line, 6 years per tranche, starting same year capitalization is recognized.</t>
  </si>
  <si>
    <t xml:space="preserve">Development capitalised (intangibles addition)</t>
  </si>
  <si>
    <t xml:space="preserve">Platform R&amp;D expensed (research + non-eligible development)</t>
  </si>
  <si>
    <t xml:space="preserve">Amortisation of capitalised R&amp;D (this year, in D&amp;A)</t>
  </si>
  <si>
    <t xml:space="preserve">NRE contingency (30% uplift for realistic AESA/MALE/AUV costs)</t>
  </si>
  <si>
    <t xml:space="preserve">Adjustment</t>
  </si>
  <si>
    <t xml:space="preserve">Capital Expenditure &amp; Depreciation (Straight-line)</t>
  </si>
  <si>
    <t xml:space="preserve">Item</t>
  </si>
  <si>
    <t xml:space="preserve">Life (yr)</t>
  </si>
  <si>
    <t xml:space="preserve">A. Capex - per-item spend (₹ L)</t>
  </si>
  <si>
    <t xml:space="preserve">  Vector Network Analyzer (VNA) suite</t>
  </si>
  <si>
    <t xml:space="preserve">  Anechoic Chamber + Near-field Range (own)</t>
  </si>
  <si>
    <t xml:space="preserve">  Cleanroom (SMT / GaN packaging)</t>
  </si>
  <si>
    <t xml:space="preserve">  SMT / Assembly Production Line</t>
  </si>
  <si>
    <t xml:space="preserve">  HALT / HASS Environmental Test Chambers</t>
  </si>
  <si>
    <t xml:space="preserve">  EMI/EMC Test Cell (MIL-STD-461, own)</t>
  </si>
  <si>
    <t xml:space="preserve">  RF/EW Lab Bench (signal gens, spectrum)</t>
  </si>
  <si>
    <t xml:space="preserve">  FPGA / Compute Dev Stations</t>
  </si>
  <si>
    <t xml:space="preserve">  GPU Cluster (AI training)</t>
  </si>
  <si>
    <t xml:space="preserve">  UAS Flight Test Range / Hangar</t>
  </si>
  <si>
    <t xml:space="preserve">  Maritime Test Tank / Subsea Range</t>
  </si>
  <si>
    <t xml:space="preserve">  Office / Facilities build-out</t>
  </si>
  <si>
    <t xml:space="preserve">  IT infrastructure / classified network</t>
  </si>
  <si>
    <t xml:space="preserve">  Vehicles / mobile demo platforms</t>
  </si>
  <si>
    <t xml:space="preserve">  </t>
  </si>
  <si>
    <t xml:space="preserve">Total Capex (gross)</t>
  </si>
  <si>
    <t xml:space="preserve">B. Depreciation (straight-line) per item</t>
  </si>
  <si>
    <t xml:space="preserve">  Vector Network Analyzer (VNA) suite - depreciation</t>
  </si>
  <si>
    <t xml:space="preserve">  Anechoic Chamber + Near-field Range (own) - depreciation</t>
  </si>
  <si>
    <t xml:space="preserve">  Cleanroom (SMT / GaN packaging) - depreciation</t>
  </si>
  <si>
    <t xml:space="preserve">  SMT / Assembly Production Line - depreciation</t>
  </si>
  <si>
    <t xml:space="preserve">  HALT / HASS Environmental Test Chambers - depreciation</t>
  </si>
  <si>
    <t xml:space="preserve">  EMI/EMC Test Cell (MIL-STD-461, own) - depreciation</t>
  </si>
  <si>
    <t xml:space="preserve">  RF/EW Lab Bench (signal gens, spectrum) - depreciation</t>
  </si>
  <si>
    <t xml:space="preserve">  FPGA / Compute Dev Stations - depreciation</t>
  </si>
  <si>
    <t xml:space="preserve">  GPU Cluster (AI training) - depreciation</t>
  </si>
  <si>
    <t xml:space="preserve">  UAS Flight Test Range / Hangar - depreciation</t>
  </si>
  <si>
    <t xml:space="preserve">  Maritime Test Tank / Subsea Range - depreciation</t>
  </si>
  <si>
    <t xml:space="preserve">  Office / Facilities build-out - depreciation</t>
  </si>
  <si>
    <t xml:space="preserve">  IT infrastructure / classified network - depreciation</t>
  </si>
  <si>
    <t xml:space="preserve">  Vehicles / mobile demo platforms - depreciation</t>
  </si>
  <si>
    <t xml:space="preserve">  Partner-lab usage credits (capitalized) - depreciation</t>
  </si>
  <si>
    <t xml:space="preserve">Total D&amp;A</t>
  </si>
  <si>
    <t xml:space="preserve">Operating Expenses - Non-Personnel</t>
  </si>
  <si>
    <t xml:space="preserve">A. Opex items - per-line spend (₹ L)</t>
  </si>
  <si>
    <t xml:space="preserve">  Facilities / rent / utilities</t>
  </si>
  <si>
    <t xml:space="preserve">  Cloud / compute / data</t>
  </si>
  <si>
    <t xml:space="preserve">  Software licenses (CAD/EDA/HFSS/MATLAB)</t>
  </si>
  <si>
    <t xml:space="preserve">  Travel &amp; customer demos</t>
  </si>
  <si>
    <t xml:space="preserve">  Defense exhibitions (DSEI, AUSA, etc.)</t>
  </si>
  <si>
    <t xml:space="preserve">  Certifications (DO-178, DO-254, AS9100)</t>
  </si>
  <si>
    <t xml:space="preserve">  ITAR / Export Control overhead</t>
  </si>
  <si>
    <t xml:space="preserve">  Cybersecurity / CMMC L3 ops</t>
  </si>
  <si>
    <t xml:space="preserve">  Quality / CMMI / AS9100 ops</t>
  </si>
  <si>
    <t xml:space="preserve">  Insurance (product liability, E&amp;O)</t>
  </si>
  <si>
    <t xml:space="preserve">  Legal / contracts / IP</t>
  </si>
  <si>
    <t xml:space="preserve">  Bid &amp; Proposal direct costs</t>
  </si>
  <si>
    <t xml:space="preserve">  Recruiting / training</t>
  </si>
  <si>
    <t xml:space="preserve">  Range / flight test ops (UAS, AUV)</t>
  </si>
  <si>
    <t xml:space="preserve">  Miscellaneous / contingency</t>
  </si>
  <si>
    <t xml:space="preserve">  Bank guarantee fees (PBG + ABG, computed) - ₹ Cr</t>
  </si>
  <si>
    <t xml:space="preserve">Total Opex (non-personnel)</t>
  </si>
  <si>
    <t xml:space="preserve">  Partner-lab usage credits (prepaid opex, Ind AS - reclassified from Capex m4)</t>
  </si>
  <si>
    <t xml:space="preserve">10-Year Consolidated Income Statement</t>
  </si>
  <si>
    <t xml:space="preserve">Line item</t>
  </si>
  <si>
    <t xml:space="preserve">  COGS - BoM</t>
  </si>
  <si>
    <t xml:space="preserve">  COGS - personnel + service</t>
  </si>
  <si>
    <t xml:space="preserve">Total COGS</t>
  </si>
  <si>
    <t xml:space="preserve">  Gross margin %</t>
  </si>
  <si>
    <t xml:space="preserve">S&amp;M expense (personnel + opex pct)</t>
  </si>
  <si>
    <t xml:space="preserve">G&amp;A expense (personnel + opex pct)</t>
  </si>
  <si>
    <t xml:space="preserve">Other Opex (facilities, compliance, exhibitions, etc.)</t>
  </si>
  <si>
    <t xml:space="preserve">  EBITDA margin %</t>
  </si>
  <si>
    <t xml:space="preserve">  Depreciation &amp; Amortization (PP&amp;E + capitalized R&amp;D)</t>
  </si>
  <si>
    <t xml:space="preserve">EBIT</t>
  </si>
  <si>
    <t xml:space="preserve">  Interest expense</t>
  </si>
  <si>
    <t xml:space="preserve">Pretax income</t>
  </si>
  <si>
    <t xml:space="preserve">  Tax expense (if profitable)</t>
  </si>
  <si>
    <t xml:space="preserve">NET INCOME</t>
  </si>
  <si>
    <t xml:space="preserve">- C5: Tax detail (NOL + MAT + R&amp;D tax bridge) -</t>
  </si>
  <si>
    <t xml:space="preserve">Book PBT (echo)</t>
  </si>
  <si>
    <t xml:space="preserve">Opening NOL pool</t>
  </si>
  <si>
    <t xml:space="preserve">NOL added this year (=MAX(0,-tax-basis PBT after R&amp;D bridge))</t>
  </si>
  <si>
    <t xml:space="preserve">NOL utilized this year (against tax-basis PBT)</t>
  </si>
  <si>
    <t xml:space="preserve">Closing NOL pool (8yr expiry not modeled; immaterial: all losses utilized by Y3)</t>
  </si>
  <si>
    <t xml:space="preserve">Taxable income (after NOL and R&amp;D tax bridge)</t>
  </si>
  <si>
    <t xml:space="preserve">Regular tax (25% × taxable income)</t>
  </si>
  <si>
    <t xml:space="preserve">MAT (15% × MAX(0, PBT))</t>
  </si>
  <si>
    <t xml:space="preserve">Opening MAT credit asset (on BS per Ind AS 12)</t>
  </si>
  <si>
    <t xml:space="preserve">MAT credit utilized (memo, not in P&amp;L)</t>
  </si>
  <si>
    <t xml:space="preserve">MAT credit earned</t>
  </si>
  <si>
    <t xml:space="preserve">Closing MAT credit asset (on-BS - DTA mechanics simplified per Ind AS 12)</t>
  </si>
  <si>
    <t xml:space="preserve">- Tax R&amp;D bridge memo -</t>
  </si>
  <si>
    <t xml:space="preserve">10-Year Cash Flow Statement</t>
  </si>
  <si>
    <t xml:space="preserve">A. Cash from Operations (CFO)</t>
  </si>
  <si>
    <t xml:space="preserve">  + D&amp;A</t>
  </si>
  <si>
    <t xml:space="preserve">  Memo: Accounts Receivable (DSO × Rev / 365)</t>
  </si>
  <si>
    <t xml:space="preserve">  Memo: Inventory (InvDays × COGS / 365)</t>
  </si>
  <si>
    <t xml:space="preserve">  Memo: Accounts Payable (DPO × COGS / 365)</t>
  </si>
  <si>
    <t xml:space="preserve">  Net Working Capital (AR + Inv − AP)</t>
  </si>
  <si>
    <t xml:space="preserve">  − ΔWorking capital (Day-0 NWC = 0; full Y1 NWC charges to Y1 ΔWC - see note)</t>
  </si>
  <si>
    <t xml:space="preserve">  + Δ Customer advances (contract liability)</t>
  </si>
  <si>
    <t xml:space="preserve">CFO (Net Income + D&amp;A − ΔWC + ΔCust. Advances)</t>
  </si>
  <si>
    <t xml:space="preserve">  − Δ MAT credit asset (DTA non-cash adjustment)</t>
  </si>
  <si>
    <t xml:space="preserve">B. Cash from Investing (CFI)</t>
  </si>
  <si>
    <t xml:space="preserve">− Capex (gross)</t>
  </si>
  <si>
    <t xml:space="preserve">− Δ Restricted cash (BG collateral pledged)</t>
  </si>
  <si>
    <t xml:space="preserve">CFI (− Capex − ΔRestricted − Capitalized R&amp;D)</t>
  </si>
  <si>
    <t xml:space="preserve">C. Cash from Financing (CFF)</t>
  </si>
  <si>
    <t xml:space="preserve">Net debt (draw − repay)</t>
  </si>
  <si>
    <t xml:space="preserve">CFF</t>
  </si>
  <si>
    <t xml:space="preserve">D. Free Cash Flow &amp; Cash Position</t>
  </si>
  <si>
    <t xml:space="preserve">Free Cash Flow (CFO + CFI)</t>
  </si>
  <si>
    <t xml:space="preserve">  Cumulative FCF</t>
  </si>
  <si>
    <t xml:space="preserve">Net change in cash (FCF + CFF)</t>
  </si>
  <si>
    <t xml:space="preserve">Cash balance (EoY)</t>
  </si>
  <si>
    <t xml:space="preserve">  Cumulative invested capital</t>
  </si>
  <si>
    <t xml:space="preserve">Memo: Capitalized R&amp;D (intangibles addition, within CFI)</t>
  </si>
  <si>
    <t xml:space="preserve">Min cash reserve target (Assumptions!C25)</t>
  </si>
  <si>
    <t xml:space="preserve">Cash buffer above min (EoY cash − target)</t>
  </si>
  <si>
    <t xml:space="preserve">ALERT: Cash below min reserve?</t>
  </si>
  <si>
    <t xml:space="preserve">Balance Sheet - Integrated (links to P&amp;L, CashFlow, Funding)</t>
  </si>
  <si>
    <t xml:space="preserve">Working capital line items are driven by the day-count schedule in Assumptions (DSO, DPO, Inventory days). PP&amp;E is gross Capex less accumulated depreciation. Cash is the plug from CashFlow. The Check row verifies A = L + E.</t>
  </si>
  <si>
    <t xml:space="preserve">A. Assets</t>
  </si>
  <si>
    <t xml:space="preserve">Cash &amp; cash equivalents</t>
  </si>
  <si>
    <t xml:space="preserve">Accounts Receivable (DSO-based)</t>
  </si>
  <si>
    <t xml:space="preserve">Inventory (Inv-days × COGS)</t>
  </si>
  <si>
    <t xml:space="preserve">Current assets (Cash + Restricted + AR + Inv)</t>
  </si>
  <si>
    <t xml:space="preserve">MAT credit asset (DTA, Ind AS 12)</t>
  </si>
  <si>
    <t xml:space="preserve">Gross PP&amp;E (cumulative Capex)</t>
  </si>
  <si>
    <t xml:space="preserve">Accumulated depreciation</t>
  </si>
  <si>
    <t xml:space="preserve">Net PP&amp;E (Gross − Accum. Depreciation)</t>
  </si>
  <si>
    <t xml:space="preserve">Net intangibles (capitalized R&amp;D − accum amort)</t>
  </si>
  <si>
    <t xml:space="preserve">TOTAL ASSETS (incl. net intangibles)</t>
  </si>
  <si>
    <t xml:space="preserve">B. Liabilities</t>
  </si>
  <si>
    <t xml:space="preserve">Accounts Payable (DPO-based)</t>
  </si>
  <si>
    <t xml:space="preserve">Contract liabilities / customer advances</t>
  </si>
  <si>
    <t xml:space="preserve">Venture debt outstanding (EoY)</t>
  </si>
  <si>
    <t xml:space="preserve">TOTAL LIABILITIES</t>
  </si>
  <si>
    <t xml:space="preserve">C. Shareholders' Equity</t>
  </si>
  <si>
    <t xml:space="preserve">Paid-in capital (cumulative equity rounds)</t>
  </si>
  <si>
    <t xml:space="preserve">Retained earnings (cumulative Net Income)</t>
  </si>
  <si>
    <t xml:space="preserve">TOTAL EQUITY</t>
  </si>
  <si>
    <t xml:space="preserve">TOTAL LIABILITIES + EQUITY</t>
  </si>
  <si>
    <t xml:space="preserve">D. Check &amp; key balance-sheet ratios</t>
  </si>
  <si>
    <t xml:space="preserve">Check (A = L + E)</t>
  </si>
  <si>
    <t xml:space="preserve">Current ratio (CA / Current Liab = AP + Customer Advances)</t>
  </si>
  <si>
    <t xml:space="preserve">Debt / Equity</t>
  </si>
  <si>
    <t xml:space="preserve">ROIC = NOPAT / (Debt + Equity)</t>
  </si>
  <si>
    <t xml:space="preserve">Cash conversion cycle (CCC) [DSO+InvDays-DPO; constant 195 by assumption (DSO+InvDays-DPO) - driven by Assumptions, will vary only if you replace WC schedule with actuals]</t>
  </si>
  <si>
    <t xml:space="preserve">Intangibles - capitalized R&amp;D (gross, cumulative)</t>
  </si>
  <si>
    <t xml:space="preserve">  Less: accumulated amortization</t>
  </si>
  <si>
    <t xml:space="preserve">Net intangibles</t>
  </si>
  <si>
    <t xml:space="preserve">MAT credit asset</t>
  </si>
  <si>
    <t xml:space="preserve">Funding Plan - Equity Rounds + Venture Debt</t>
  </si>
  <si>
    <t xml:space="preserve">Round / Item</t>
  </si>
  <si>
    <t xml:space="preserve">Detail</t>
  </si>
  <si>
    <t xml:space="preserve">A. Equity rounds</t>
  </si>
  <si>
    <t xml:space="preserve">Y1 Rs.450 Cr - sized for prototyping, qualification trials, ESM iDEX MoQ delivery, initial production line stand-up. Designs owned, IP de-risked.</t>
  </si>
  <si>
    <t xml:space="preserve">Seed (Y1) - Rs.450 Cr; funds platform NRE (M1-M5) + WC buffer for MoD DSO.</t>
  </si>
  <si>
    <t xml:space="preserve">Y2 Rs.400 Cr - production scale-up across V2/V3/V6, AESA + UAS prototype build, EMI/anechoic facility, BG margin only 10% (existing facility).</t>
  </si>
  <si>
    <t xml:space="preserve">Series A (Y2) - Rs.400 Cr; absorbs 100% Y1-Y2 BG collateral and scales V2/V3/V6 production.</t>
  </si>
  <si>
    <t xml:space="preserve">Y3 Rs.250 Cr - production ramp for V1/V4/V5 first deliveries, Make-II contract working capital, capex tranche for test ranges.</t>
  </si>
  <si>
    <t xml:space="preserve">Series B (Y3) - Rs.250 Cr; trough-coverage to FCF-positive in Y4 alongside Rs.100 Cr PSU TL.</t>
  </si>
  <si>
    <t xml:space="preserve">iDEX (₹200 Cr MoQ already won, prototype phase), ADITI/SPRINT/TDF top-ups for adjacent verticals.</t>
  </si>
  <si>
    <t xml:space="preserve">Excluded - not relied upon in funding plan.</t>
  </si>
  <si>
    <t xml:space="preserve">B. Venture debt</t>
  </si>
  <si>
    <t xml:space="preserve">Interest rate (annual)</t>
  </si>
  <si>
    <t xml:space="preserve">Debt drawn (Y1 VC+TL, Y2 PSU bank TL against land, Y3 WC line expansion)</t>
  </si>
  <si>
    <t xml:space="preserve">Y1 Rs.20 (VC bridge); Y2 Rs.100 PSU bank TL/land collateral; Y3 Rs.80 WC line expansion.</t>
  </si>
  <si>
    <t xml:space="preserve">Debt repaid (outflow)</t>
  </si>
  <si>
    <t xml:space="preserve">Debt balance (BoY)</t>
  </si>
  <si>
    <t xml:space="preserve">Interest expense (avg-balance × rate)</t>
  </si>
  <si>
    <t xml:space="preserve">C. CFF - total cash from financing</t>
  </si>
  <si>
    <t xml:space="preserve">Equity inflow</t>
  </si>
  <si>
    <t xml:space="preserve">Total CFF</t>
  </si>
  <si>
    <t xml:space="preserve">D. Min-cash compliance check</t>
  </si>
  <si>
    <t xml:space="preserve">Min cash reserve target (₹ Cr)</t>
  </si>
  <si>
    <t xml:space="preserve">Projected end-of-year cash (CashFlow)</t>
  </si>
  <si>
    <t xml:space="preserve">Funding gap (shortfall vs target)</t>
  </si>
  <si>
    <t xml:space="preserve">Note: gap &gt; 0 means planned rounds (rows 6-8) need to be increased.</t>
  </si>
  <si>
    <t xml:space="preserve">Existing facilities (pre-Plan)</t>
  </si>
  <si>
    <t xml:space="preserve">Rs.150 Cr land/factory collateral; Rs.12.5 Cr WC limit (utilised); Rs.18.5 Cr ABG sanctioned (covers Y1 ABG of Rs.18.76 Cr); Rs.9 Cr TL approved (drawn in Y1, included in debt row).</t>
  </si>
  <si>
    <t xml:space="preserve">Break-Even Analysis - Per-Vertical &amp; Company-Wide</t>
  </si>
  <si>
    <t xml:space="preserve">Snapshot year (1..10)</t>
  </si>
  <si>
    <t xml:space="preserve">A. Per-vertical contribution &amp; break-even (snapshot year)</t>
  </si>
  <si>
    <t xml:space="preserve">Revenue (snap)</t>
  </si>
  <si>
    <t xml:space="preserve">BoM COGS (snap)</t>
  </si>
  <si>
    <t xml:space="preserve">Gross profit (snap)</t>
  </si>
  <si>
    <t xml:space="preserve">GM %</t>
  </si>
  <si>
    <t xml:space="preserve">Units (snap)</t>
  </si>
  <si>
    <t xml:space="preserve">Total (all verticals)</t>
  </si>
  <si>
    <t xml:space="preserve">B. Fixed cost stack at snapshot year</t>
  </si>
  <si>
    <t xml:space="preserve">R&amp;D / NRE</t>
  </si>
  <si>
    <t xml:space="preserve">S&amp;M (P&amp;L)</t>
  </si>
  <si>
    <t xml:space="preserve">G&amp;A (P&amp;L)</t>
  </si>
  <si>
    <t xml:space="preserve">Other Opex (P&amp;L)</t>
  </si>
  <si>
    <t xml:space="preserve">D&amp;A</t>
  </si>
  <si>
    <t xml:space="preserve">COGS personnel (P&amp;L)</t>
  </si>
  <si>
    <t xml:space="preserve">Total fixed cost</t>
  </si>
  <si>
    <t xml:space="preserve">C. Break-even revenue (annual)</t>
  </si>
  <si>
    <t xml:space="preserve">Company weighted GM %</t>
  </si>
  <si>
    <t xml:space="preserve">Break-even annual revenue = Fixed / GM%</t>
  </si>
  <si>
    <t xml:space="preserve">D. Key financial indicators (full 10-yr)</t>
  </si>
  <si>
    <t xml:space="preserve">First year EBITDA-positive</t>
  </si>
  <si>
    <t xml:space="preserve">First year FCF-positive</t>
  </si>
  <si>
    <t xml:space="preserve">Peak cumulative cash deficit (worst)</t>
  </si>
  <si>
    <t xml:space="preserve">Counterfactual: Cumulative NRE avoided (10yr) - vs. standalone build; NOT realized cash savings</t>
  </si>
  <si>
    <t xml:space="preserve">Total equity raised (10 yr)</t>
  </si>
  <si>
    <t xml:space="preserve">Peak debt balance</t>
  </si>
  <si>
    <t xml:space="preserve">NPV of FCF (discount rate from Assumptions)</t>
  </si>
  <si>
    <t xml:space="preserve">Project IRR (on FCF only; EXCLUDES equity/debt flows - not investor IRR)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</si>
</sst>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&quot;₹ &quot;#,##0.0&quot; Cr&quot;;[RED]&quot;(₹ &quot;#,##0.0&quot; Cr)&quot;;\-"/>
    <numFmt numFmtId="166" formatCode="0.0%;[RED]\(0.0%\);\-"/>
    <numFmt numFmtId="167" formatCode="#,##0;[RED]\(#,##0\);\-"/>
    <numFmt numFmtId="168" formatCode="0.00"/>
    <numFmt numFmtId="169" formatCode="0"/>
    <numFmt numFmtId="170" formatCode="0.0%"/>
    <numFmt numFmtId="171" formatCode="#,##0.0"/>
    <numFmt numFmtId="172" formatCode="0%"/>
    <numFmt numFmtId="173" formatCode="0%;[RED]\(0%\);\-"/>
    <numFmt numFmtId="174" formatCode="0.0"/>
    <numFmt numFmtId="175" formatCode="&quot;₹ &quot;#,##0.00&quot; L&quot;;[RED]&quot;(₹ &quot;#,##0.00&quot; L)&quot;;\-"/>
    <numFmt numFmtId="176" formatCode="0&quot; days&quot;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b val="true"/>
      <sz val="12"/>
      <color rgb="FF0B2545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6"/>
      <color rgb="FF0B2545"/>
      <name val="Calibri"/>
      <family val="0"/>
      <charset val="1"/>
    </font>
    <font>
      <b val="true"/>
      <sz val="10"/>
      <color rgb="FF0B2545"/>
      <name val="Calibri"/>
      <family val="0"/>
      <charset val="1"/>
    </font>
    <font>
      <b val="true"/>
      <sz val="14"/>
      <color rgb="FF0B2545"/>
      <name val="Calibri"/>
      <family val="0"/>
      <charset val="1"/>
    </font>
    <font>
      <sz val="10"/>
      <color rgb="FF0B2545"/>
      <name val="Calibri"/>
      <family val="0"/>
      <charset val="1"/>
    </font>
    <font>
      <b val="true"/>
      <sz val="11"/>
      <color rgb="FF0B254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4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i val="true"/>
      <sz val="10"/>
      <name val="Calibri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1"/>
      <color rgb="FF9C0006"/>
      <name val="Cambria"/>
      <family val="0"/>
      <charset val="1"/>
    </font>
    <font>
      <sz val="10"/>
      <name val="Arial"/>
      <family val="2"/>
    </font>
    <font>
      <b val="true"/>
      <sz val="10"/>
      <color rgb="FF0B2545"/>
      <name val="Cambria"/>
      <family val="0"/>
      <charset val="1"/>
    </font>
  </fonts>
  <fills count="28">
    <fill>
      <patternFill patternType="none"/>
    </fill>
    <fill>
      <patternFill patternType="gray125"/>
    </fill>
    <fill>
      <patternFill patternType="solid">
        <fgColor rgb="FF0B2545"/>
        <bgColor rgb="FF13315C"/>
      </patternFill>
    </fill>
    <fill>
      <patternFill patternType="solid">
        <fgColor rgb="FF92E285"/>
        <bgColor rgb="FFA9D08E"/>
      </patternFill>
    </fill>
    <fill>
      <patternFill patternType="solid">
        <fgColor rgb="FFEEF2F7"/>
        <bgColor rgb="FFE8F0FE"/>
      </patternFill>
    </fill>
    <fill>
      <patternFill patternType="solid">
        <fgColor rgb="FF13315C"/>
        <bgColor rgb="FF0B2545"/>
      </patternFill>
    </fill>
    <fill>
      <patternFill patternType="solid">
        <fgColor rgb="FFDDEEF7"/>
        <bgColor rgb="FFD9EAF7"/>
      </patternFill>
    </fill>
    <fill>
      <patternFill patternType="solid">
        <fgColor rgb="FFE8F5E0"/>
        <bgColor rgb="FFE2F0D9"/>
      </patternFill>
    </fill>
    <fill>
      <patternFill patternType="solid">
        <fgColor rgb="FFDDE9F7"/>
        <bgColor rgb="FFD9EAF7"/>
      </patternFill>
    </fill>
    <fill>
      <patternFill patternType="solid">
        <fgColor rgb="FFF7E0E8"/>
        <bgColor rgb="FFE7E6E6"/>
      </patternFill>
    </fill>
    <fill>
      <patternFill patternType="solid">
        <fgColor rgb="FFC9A227"/>
        <bgColor rgb="FFF79646"/>
      </patternFill>
    </fill>
    <fill>
      <patternFill patternType="solid">
        <fgColor rgb="FFFFF5D9"/>
        <bgColor rgb="FFFFF2CC"/>
      </patternFill>
    </fill>
    <fill>
      <patternFill patternType="solid">
        <fgColor rgb="FFE8F0FE"/>
        <bgColor rgb="FFEEF2F7"/>
      </patternFill>
    </fill>
    <fill>
      <patternFill patternType="solid">
        <fgColor rgb="FFD9E8F5"/>
        <bgColor rgb="FFD9EAF7"/>
      </patternFill>
    </fill>
    <fill>
      <patternFill patternType="solid">
        <fgColor rgb="FF1F4E78"/>
        <bgColor rgb="FF2F3E4F"/>
      </patternFill>
    </fill>
    <fill>
      <patternFill patternType="solid">
        <fgColor rgb="FFD9EAF7"/>
        <bgColor rgb="FFD9E8F5"/>
      </patternFill>
    </fill>
    <fill>
      <patternFill patternType="solid">
        <fgColor rgb="FFFFFFFF"/>
        <bgColor rgb="FFEEF2F7"/>
      </patternFill>
    </fill>
    <fill>
      <patternFill patternType="solid">
        <fgColor rgb="FFFFD966"/>
        <bgColor rgb="FFFFE699"/>
      </patternFill>
    </fill>
    <fill>
      <patternFill patternType="solid">
        <fgColor rgb="FFA9D08E"/>
        <bgColor rgb="FF92E285"/>
      </patternFill>
    </fill>
    <fill>
      <patternFill patternType="solid">
        <fgColor rgb="FF8FAADC"/>
        <bgColor rgb="FFA6A6A6"/>
      </patternFill>
    </fill>
    <fill>
      <patternFill patternType="solid">
        <fgColor rgb="FFF4B183"/>
        <bgColor rgb="FFF79646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FF5D9"/>
      </patternFill>
    </fill>
    <fill>
      <patternFill patternType="solid">
        <fgColor rgb="FF5B9BD5"/>
        <bgColor rgb="FF4BACC6"/>
      </patternFill>
    </fill>
    <fill>
      <patternFill patternType="solid">
        <fgColor rgb="FFE2F0D9"/>
        <bgColor rgb="FFE8F5E0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8F5"/>
      </patternFill>
    </fill>
    <fill>
      <patternFill patternType="solid">
        <fgColor rgb="FFFFC7CE"/>
        <bgColor rgb="FFF7E0E8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2F3E4F"/>
      </left>
      <right/>
      <top style="medium">
        <color rgb="FF2F3E4F"/>
      </top>
      <bottom style="medium">
        <color rgb="FF2F3E4F"/>
      </bottom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/>
      <right/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8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9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2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11" fillId="1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3" fillId="1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3" fillId="1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3" fillId="1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3" fillId="1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4" fillId="1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4" fillId="1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4" fillId="1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11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9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1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2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11" fillId="1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20" fillId="2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2" fillId="1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5" fillId="2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2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5" fillId="2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73" fontId="20" fillId="2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73" fontId="20" fillId="2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11" fillId="1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8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9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1" fillId="1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1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1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4" fillId="2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20" fillId="2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0" fillId="2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6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27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1" shrinkToFit="false"/>
      <protection locked="true" hidden="false"/>
    </xf>
    <xf numFmtId="167" fontId="20" fillId="2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1" shrinkToFit="false"/>
      <protection locked="true" hidden="false"/>
    </xf>
    <xf numFmtId="164" fontId="21" fillId="0" borderId="0" xfId="0" applyFont="true" applyBorder="false" applyAlignment="true" applyProtection="true">
      <alignment horizontal="left" vertical="center" textRotation="0" wrapText="true" indent="1" shrinkToFit="false"/>
      <protection locked="true" hidden="false"/>
    </xf>
    <xf numFmtId="167" fontId="11" fillId="1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1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8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9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1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3" fillId="2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3" fillId="2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4" fontId="13" fillId="1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0" fontId="0" fillId="2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20" fillId="2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76" fontId="13" fillId="1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8" fillId="1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28" fillId="1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6" fontId="28" fillId="1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E8F0FE"/>
      <rgbColor rgb="FF0000FF"/>
      <rgbColor rgb="FFFFF2CC"/>
      <rgbColor rgb="FFFF00FF"/>
      <rgbColor rgb="FFD9E8F5"/>
      <rgbColor rgb="FF9C0006"/>
      <rgbColor rgb="FF18A303"/>
      <rgbColor rgb="FF000080"/>
      <rgbColor rgb="FF92E285"/>
      <rgbColor rgb="FF800080"/>
      <rgbColor rgb="FF5B9BD5"/>
      <rgbColor rgb="FFA9D08E"/>
      <rgbColor rgb="FF878787"/>
      <rgbColor rgb="FF8FAADC"/>
      <rgbColor rgb="FFBE4B48"/>
      <rgbColor rgb="FFFFF5D9"/>
      <rgbColor rgb="FFDDEEF7"/>
      <rgbColor rgb="FF660066"/>
      <rgbColor rgb="FFC9A227"/>
      <rgbColor rgb="FF0066CC"/>
      <rgbColor rgb="FFD9D9D9"/>
      <rgbColor rgb="FF000080"/>
      <rgbColor rgb="FFFF00FF"/>
      <rgbColor rgb="FFE8F5E0"/>
      <rgbColor rgb="FFDCE6F1"/>
      <rgbColor rgb="FF800080"/>
      <rgbColor rgb="FF800000"/>
      <rgbColor rgb="FFEEF2F7"/>
      <rgbColor rgb="FF0000FF"/>
      <rgbColor rgb="FFDDE9F7"/>
      <rgbColor rgb="FFD9EAF7"/>
      <rgbColor rgb="FFE2F0D9"/>
      <rgbColor rgb="FFFFE699"/>
      <rgbColor rgb="FFD9E2F3"/>
      <rgbColor rgb="FFF4B183"/>
      <rgbColor rgb="FFF7E0E8"/>
      <rgbColor rgb="FFFFC7CE"/>
      <rgbColor rgb="FF4A7EBB"/>
      <rgbColor rgb="FF4BACC6"/>
      <rgbColor rgb="FF9BBB59"/>
      <rgbColor rgb="FFFFD966"/>
      <rgbColor rgb="FFF79646"/>
      <rgbColor rgb="FFE7E6E6"/>
      <rgbColor rgb="FF8064A2"/>
      <rgbColor rgb="FFA6A6A6"/>
      <rgbColor rgb="FF13315C"/>
      <rgbColor rgb="FF4F81BD"/>
      <rgbColor rgb="FF0B2545"/>
      <rgbColor rgb="FF333300"/>
      <rgbColor rgb="FF993300"/>
      <rgbColor rgb="FFC0504D"/>
      <rgbColor rgb="FF1F4E78"/>
      <rgbColor rgb="FF2F3E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IN"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EBITDA — 10-year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KPIs!B9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KPIs!$C$9:$L$9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203.4075</c:v>
                </c:pt>
                <c:pt idx="2">
                  <c:v>491.025407</c:v>
                </c:pt>
                <c:pt idx="3">
                  <c:v>855.20352269</c:v>
                </c:pt>
                <c:pt idx="4">
                  <c:v>1447.7017222023</c:v>
                </c:pt>
                <c:pt idx="5">
                  <c:v>2180.22740612554</c:v>
                </c:pt>
                <c:pt idx="6">
                  <c:v>2883.84621804161</c:v>
                </c:pt>
                <c:pt idx="7">
                  <c:v>3659.34396004101</c:v>
                </c:pt>
                <c:pt idx="8">
                  <c:v>4380.65785719232</c:v>
                </c:pt>
                <c:pt idx="9">
                  <c:v>5055.31996054249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KPIs!B15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KPIs!$C$15:$L$15</c:f>
              <c:numCache>
                <c:formatCode>"₹ "#,##0.0" Cr";[RED]"(₹ "#,##0.0" Cr)";\-</c:formatCode>
                <c:ptCount val="10"/>
                <c:pt idx="0">
                  <c:v>-324.496229633533</c:v>
                </c:pt>
                <c:pt idx="1">
                  <c:v>-316.782364832938</c:v>
                </c:pt>
                <c:pt idx="2">
                  <c:v>-22.7994001178141</c:v>
                </c:pt>
                <c:pt idx="3">
                  <c:v>190.463919339265</c:v>
                </c:pt>
                <c:pt idx="4">
                  <c:v>501.693009868376</c:v>
                </c:pt>
                <c:pt idx="5">
                  <c:v>876.561939518791</c:v>
                </c:pt>
                <c:pt idx="6">
                  <c:v>1232.89387022143</c:v>
                </c:pt>
                <c:pt idx="7">
                  <c:v>1622.84154064527</c:v>
                </c:pt>
                <c:pt idx="8">
                  <c:v>1992.58605612469</c:v>
                </c:pt>
                <c:pt idx="9">
                  <c:v>2347.09012381516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862968"/>
        <c:axId val="82682438"/>
      </c:lineChart>
      <c:catAx>
        <c:axId val="368629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682438"/>
        <c:crosses val="autoZero"/>
        <c:auto val="1"/>
        <c:lblAlgn val="ctr"/>
        <c:lblOffset val="100"/>
        <c:noMultiLvlLbl val="0"/>
      </c:catAx>
      <c:valAx>
        <c:axId val="826824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8629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IN"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by Vertical (stacked)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Revenue!B6</c:f>
              <c:strCache>
                <c:ptCount val="1"/>
                <c:pt idx="0">
                  <c:v>V1 - AESA Radar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Revenue!$D$6:$M$6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50</c:v>
                </c:pt>
                <c:pt idx="2">
                  <c:v>125</c:v>
                </c:pt>
                <c:pt idx="3">
                  <c:v>206.05015</c:v>
                </c:pt>
                <c:pt idx="4">
                  <c:v>328.296025</c:v>
                </c:pt>
                <c:pt idx="5">
                  <c:v>452.6390125</c:v>
                </c:pt>
                <c:pt idx="6">
                  <c:v>565.62770625</c:v>
                </c:pt>
                <c:pt idx="7">
                  <c:v>677.774553125</c:v>
                </c:pt>
                <c:pt idx="8">
                  <c:v>774.0550765625</c:v>
                </c:pt>
                <c:pt idx="9">
                  <c:v>865.11598828125</c:v>
                </c:pt>
              </c:numCache>
            </c:numRef>
          </c:val>
        </c:ser>
        <c:ser>
          <c:idx val="1"/>
          <c:order val="1"/>
          <c:tx>
            <c:strRef>
              <c:f>Revenue!B7</c:f>
              <c:strCache>
                <c:ptCount val="1"/>
                <c:pt idx="0">
                  <c:v>V2 - Electronic Warfare &amp; SIGINT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Revenue!$D$7:$M$7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144.2875</c:v>
                </c:pt>
                <c:pt idx="2">
                  <c:v>265.399</c:v>
                </c:pt>
                <c:pt idx="3">
                  <c:v>337.14245</c:v>
                </c:pt>
                <c:pt idx="4">
                  <c:v>430.997175</c:v>
                </c:pt>
                <c:pt idx="5">
                  <c:v>538.1312875</c:v>
                </c:pt>
                <c:pt idx="6">
                  <c:v>596.90129375</c:v>
                </c:pt>
                <c:pt idx="7">
                  <c:v>681.073746875</c:v>
                </c:pt>
                <c:pt idx="8">
                  <c:v>731.3246734375</c:v>
                </c:pt>
                <c:pt idx="9">
                  <c:v>760.43113671875</c:v>
                </c:pt>
              </c:numCache>
            </c:numRef>
          </c:val>
        </c:ser>
        <c:ser>
          <c:idx val="2"/>
          <c:order val="2"/>
          <c:tx>
            <c:strRef>
              <c:f>Revenue!B8</c:f>
              <c:strCache>
                <c:ptCount val="1"/>
                <c:pt idx="0">
                  <c:v>V3 - Counter-UAS (Anti-Drone)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Revenue!$D$8:$M$8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24.219657</c:v>
                </c:pt>
                <c:pt idx="3">
                  <c:v>106.54833519</c:v>
                </c:pt>
                <c:pt idx="4">
                  <c:v>231.5985565773</c:v>
                </c:pt>
                <c:pt idx="5">
                  <c:v>380.953600906791</c:v>
                </c:pt>
                <c:pt idx="6">
                  <c:v>545.24509060755</c:v>
                </c:pt>
                <c:pt idx="7">
                  <c:v>707.929219707059</c:v>
                </c:pt>
                <c:pt idx="8">
                  <c:v>883.489543203729</c:v>
                </c:pt>
                <c:pt idx="9">
                  <c:v>1036.5244879465</c:v>
                </c:pt>
              </c:numCache>
            </c:numRef>
          </c:val>
        </c:ser>
        <c:ser>
          <c:idx val="3"/>
          <c:order val="3"/>
          <c:tx>
            <c:strRef>
              <c:f>Revenue!B9</c:f>
              <c:strCache>
                <c:ptCount val="1"/>
                <c:pt idx="0">
                  <c:v>V4 - MALE-class ISR UAS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Revenue!$D$9:$M$9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33</c:v>
                </c:pt>
                <c:pt idx="3">
                  <c:v>104.61</c:v>
                </c:pt>
                <c:pt idx="4">
                  <c:v>261.9507</c:v>
                </c:pt>
                <c:pt idx="5">
                  <c:v>496.715406</c:v>
                </c:pt>
                <c:pt idx="6">
                  <c:v>725.93927802</c:v>
                </c:pt>
                <c:pt idx="7">
                  <c:v>963.5432782734</c:v>
                </c:pt>
                <c:pt idx="8">
                  <c:v>1173.79879244318</c:v>
                </c:pt>
                <c:pt idx="9">
                  <c:v>1386.25371893693</c:v>
                </c:pt>
              </c:numCache>
            </c:numRef>
          </c:val>
        </c:ser>
        <c:ser>
          <c:idx val="4"/>
          <c:order val="4"/>
          <c:tx>
            <c:strRef>
              <c:f>Revenue!B10</c:f>
              <c:strCache>
                <c:ptCount val="1"/>
                <c:pt idx="0">
                  <c:v>V5 - Autonomous Systems (AUV/USV)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Revenue!$D$10:$M$10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18.9525</c:v>
                </c:pt>
                <c:pt idx="3">
                  <c:v>50.450875</c:v>
                </c:pt>
                <c:pt idx="4">
                  <c:v>100.33815625</c:v>
                </c:pt>
                <c:pt idx="5">
                  <c:v>158.7121421875</c:v>
                </c:pt>
                <c:pt idx="6">
                  <c:v>225.997431640625</c:v>
                </c:pt>
                <c:pt idx="7">
                  <c:v>326.595823730469</c:v>
                </c:pt>
                <c:pt idx="8">
                  <c:v>438.562467797852</c:v>
                </c:pt>
                <c:pt idx="9">
                  <c:v>549.151850848389</c:v>
                </c:pt>
              </c:numCache>
            </c:numRef>
          </c:val>
        </c:ser>
        <c:ser>
          <c:idx val="5"/>
          <c:order val="5"/>
          <c:tx>
            <c:strRef>
              <c:f>Revenue!B11</c:f>
              <c:strCache>
                <c:ptCount val="1"/>
                <c:pt idx="0">
                  <c:v>V6 - Military AI Systems</c:v>
                </c:pt>
              </c:strCache>
            </c:strRef>
          </c:tx>
          <c:spPr>
            <a:solidFill>
              <a:srgbClr val="F79646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Revenue!$D$11:$M$11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9.12</c:v>
                </c:pt>
                <c:pt idx="2">
                  <c:v>24.45425</c:v>
                </c:pt>
                <c:pt idx="3">
                  <c:v>50.4017125</c:v>
                </c:pt>
                <c:pt idx="4">
                  <c:v>94.521109375</c:v>
                </c:pt>
                <c:pt idx="5">
                  <c:v>153.07595703125</c:v>
                </c:pt>
                <c:pt idx="6">
                  <c:v>224.135417773438</c:v>
                </c:pt>
                <c:pt idx="7">
                  <c:v>302.427338330078</c:v>
                </c:pt>
                <c:pt idx="8">
                  <c:v>379.427303747559</c:v>
                </c:pt>
                <c:pt idx="9">
                  <c:v>457.842777810669</c:v>
                </c:pt>
              </c:numCache>
            </c:numRef>
          </c:val>
        </c:ser>
        <c:gapWidth val="150"/>
        <c:overlap val="100"/>
        <c:axId val="35235062"/>
        <c:axId val="19234715"/>
      </c:barChart>
      <c:catAx>
        <c:axId val="352350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234715"/>
        <c:crosses val="autoZero"/>
        <c:auto val="1"/>
        <c:lblAlgn val="ctr"/>
        <c:lblOffset val="100"/>
        <c:noMultiLvlLbl val="0"/>
      </c:catAx>
      <c:valAx>
        <c:axId val="19234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2350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IN"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R&amp;D / NRE — Gross vs Leveraged (post-reuse)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'R&amp;D_NRE'!B8</c:f>
              <c:strCache>
                <c:ptCount val="1"/>
                <c:pt idx="0">
                  <c:v>Memo: Σ Gross NRE (standalone, no platform reuse)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'R&amp;D_NRE'!$C$8:$M$8</c:f>
              <c:numCache>
                <c:formatCode>"₹ "#,##0.0" Cr";[RED]"(₹ "#,##0.0" Cr)";\-</c:formatCode>
                <c:ptCount val="11"/>
                <c:pt idx="1">
                  <c:v>261.725</c:v>
                </c:pt>
                <c:pt idx="2">
                  <c:v>308.75</c:v>
                </c:pt>
                <c:pt idx="3">
                  <c:v>270.085</c:v>
                </c:pt>
                <c:pt idx="4">
                  <c:v>206.53</c:v>
                </c:pt>
                <c:pt idx="5">
                  <c:v>133.475</c:v>
                </c:pt>
                <c:pt idx="6">
                  <c:v>75.43</c:v>
                </c:pt>
                <c:pt idx="7">
                  <c:v>47.5</c:v>
                </c:pt>
                <c:pt idx="8">
                  <c:v>27.1225</c:v>
                </c:pt>
                <c:pt idx="9">
                  <c:v>9.3575</c:v>
                </c:pt>
                <c:pt idx="10">
                  <c:v>8.7875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'R&amp;D_NRE'!B6</c:f>
              <c:strCache>
                <c:ptCount val="1"/>
                <c:pt idx="0">
                  <c:v>Σ Leveraged vertical NRE (post-reuse)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'R&amp;D_NRE'!$C$6:$M$6</c:f>
              <c:numCache>
                <c:formatCode>"₹ "#,##0.0" Cr";[RED]"(₹ "#,##0.0" Cr)";\-</c:formatCode>
                <c:ptCount val="11"/>
                <c:pt idx="1">
                  <c:v>141.827875</c:v>
                </c:pt>
                <c:pt idx="2">
                  <c:v>110.149175</c:v>
                </c:pt>
                <c:pt idx="3">
                  <c:v>59.139457</c:v>
                </c:pt>
                <c:pt idx="4">
                  <c:v>26.760075</c:v>
                </c:pt>
                <c:pt idx="5">
                  <c:v>10.307785</c:v>
                </c:pt>
                <c:pt idx="6">
                  <c:v>3.740853</c:v>
                </c:pt>
                <c:pt idx="7">
                  <c:v>1.6259535</c:v>
                </c:pt>
                <c:pt idx="8">
                  <c:v>0.657509249999999</c:v>
                </c:pt>
                <c:pt idx="9">
                  <c:v>0.14221025</c:v>
                </c:pt>
                <c:pt idx="10">
                  <c:v>0.087875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58257"/>
        <c:axId val="95307428"/>
      </c:lineChart>
      <c:catAx>
        <c:axId val="19582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307428"/>
        <c:crosses val="autoZero"/>
        <c:auto val="1"/>
        <c:lblAlgn val="ctr"/>
        <c:lblOffset val="100"/>
        <c:noMultiLvlLbl val="0"/>
      </c:catAx>
      <c:valAx>
        <c:axId val="953074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582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49</xdr:row>
      <xdr:rowOff>0</xdr:rowOff>
    </xdr:from>
    <xdr:to>
      <xdr:col>7</xdr:col>
      <xdr:colOff>371880</xdr:colOff>
      <xdr:row>67</xdr:row>
      <xdr:rowOff>164520</xdr:rowOff>
    </xdr:to>
    <xdr:graphicFrame>
      <xdr:nvGraphicFramePr>
        <xdr:cNvPr id="1" name="Chart 1"/>
        <xdr:cNvGraphicFramePr/>
      </xdr:nvGraphicFramePr>
      <xdr:xfrm>
        <a:off x="106560" y="10287000"/>
        <a:ext cx="7913880" cy="359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71</xdr:row>
      <xdr:rowOff>0</xdr:rowOff>
    </xdr:from>
    <xdr:to>
      <xdr:col>7</xdr:col>
      <xdr:colOff>371880</xdr:colOff>
      <xdr:row>89</xdr:row>
      <xdr:rowOff>164520</xdr:rowOff>
    </xdr:to>
    <xdr:graphicFrame>
      <xdr:nvGraphicFramePr>
        <xdr:cNvPr id="2" name="Chart 2"/>
        <xdr:cNvGraphicFramePr/>
      </xdr:nvGraphicFramePr>
      <xdr:xfrm>
        <a:off x="106560" y="14478120"/>
        <a:ext cx="7913880" cy="359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93</xdr:row>
      <xdr:rowOff>0</xdr:rowOff>
    </xdr:from>
    <xdr:to>
      <xdr:col>7</xdr:col>
      <xdr:colOff>371880</xdr:colOff>
      <xdr:row>111</xdr:row>
      <xdr:rowOff>164520</xdr:rowOff>
    </xdr:to>
    <xdr:graphicFrame>
      <xdr:nvGraphicFramePr>
        <xdr:cNvPr id="3" name="Chart 3"/>
        <xdr:cNvGraphicFramePr/>
      </xdr:nvGraphicFramePr>
      <xdr:xfrm>
        <a:off x="106560" y="18668880"/>
        <a:ext cx="7913880" cy="359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2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3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4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7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8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8.22"/>
    <col collapsed="false" customWidth="true" hidden="false" outlineLevel="0" max="3" min="3" style="1" width="70"/>
    <col collapsed="false" customWidth="true" hidden="false" outlineLevel="0" max="6" min="4" style="1" width="14"/>
  </cols>
  <sheetData>
    <row r="2" customFormat="false" ht="36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48" hidden="false" customHeight="true" outlineLevel="0" collapsed="false">
      <c r="B5" s="4" t="s">
        <v>2</v>
      </c>
      <c r="C5" s="5" t="s">
        <v>3</v>
      </c>
      <c r="D5" s="5"/>
      <c r="E5" s="5"/>
      <c r="F5" s="5"/>
    </row>
    <row r="6" customFormat="false" ht="48" hidden="false" customHeight="true" outlineLevel="0" collapsed="false">
      <c r="B6" s="4" t="s">
        <v>4</v>
      </c>
      <c r="C6" s="5" t="s">
        <v>5</v>
      </c>
      <c r="D6" s="5"/>
      <c r="E6" s="5"/>
      <c r="F6" s="5"/>
    </row>
    <row r="7" customFormat="false" ht="48" hidden="false" customHeight="true" outlineLevel="0" collapsed="false">
      <c r="B7" s="4" t="s">
        <v>6</v>
      </c>
      <c r="C7" s="5" t="s">
        <v>7</v>
      </c>
      <c r="D7" s="5"/>
      <c r="E7" s="5"/>
      <c r="F7" s="5"/>
    </row>
    <row r="8" customFormat="false" ht="48" hidden="false" customHeight="true" outlineLevel="0" collapsed="false">
      <c r="B8" s="4" t="s">
        <v>8</v>
      </c>
      <c r="C8" s="5" t="s">
        <v>9</v>
      </c>
      <c r="D8" s="5"/>
      <c r="E8" s="5"/>
      <c r="F8" s="5"/>
    </row>
    <row r="9" customFormat="false" ht="21.75" hidden="false" customHeight="true" outlineLevel="0" collapsed="false">
      <c r="B9" s="4" t="s">
        <v>10</v>
      </c>
      <c r="C9" s="5" t="s">
        <v>11</v>
      </c>
      <c r="D9" s="5"/>
      <c r="E9" s="5"/>
      <c r="F9" s="5"/>
    </row>
    <row r="10" customFormat="false" ht="48" hidden="false" customHeight="true" outlineLevel="0" collapsed="false">
      <c r="B10" s="4" t="s">
        <v>12</v>
      </c>
      <c r="C10" s="5" t="s">
        <v>13</v>
      </c>
      <c r="D10" s="5"/>
      <c r="E10" s="5"/>
      <c r="F10" s="5"/>
    </row>
    <row r="11" customFormat="false" ht="48" hidden="false" customHeight="true" outlineLevel="0" collapsed="false">
      <c r="B11" s="4" t="s">
        <v>14</v>
      </c>
      <c r="C11" s="5" t="s">
        <v>15</v>
      </c>
      <c r="D11" s="5"/>
      <c r="E11" s="5"/>
      <c r="F11" s="5"/>
    </row>
    <row r="13" customFormat="false" ht="21.75" hidden="false" customHeight="true" outlineLevel="0" collapsed="false">
      <c r="B13" s="6" t="s">
        <v>16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17</v>
      </c>
      <c r="C14" s="7" t="s">
        <v>18</v>
      </c>
      <c r="D14" s="7" t="s">
        <v>19</v>
      </c>
      <c r="E14" s="7" t="s">
        <v>20</v>
      </c>
      <c r="F14" s="7" t="s">
        <v>21</v>
      </c>
    </row>
    <row r="15" customFormat="false" ht="15" hidden="false" customHeight="true" outlineLevel="0" collapsed="false">
      <c r="B15" s="8" t="s">
        <v>22</v>
      </c>
      <c r="C15" s="9" t="s">
        <v>23</v>
      </c>
      <c r="D15" s="9" t="s">
        <v>24</v>
      </c>
      <c r="E15" s="10" t="s">
        <v>25</v>
      </c>
      <c r="F15" s="9" t="s">
        <v>26</v>
      </c>
    </row>
    <row r="16" customFormat="false" ht="23.25" hidden="false" customHeight="true" outlineLevel="0" collapsed="false">
      <c r="B16" s="8" t="s">
        <v>27</v>
      </c>
      <c r="C16" s="9" t="s">
        <v>28</v>
      </c>
      <c r="D16" s="9" t="s">
        <v>29</v>
      </c>
      <c r="E16" s="10" t="s">
        <v>30</v>
      </c>
      <c r="F16" s="9" t="s">
        <v>31</v>
      </c>
    </row>
    <row r="17" customFormat="false" ht="23.25" hidden="false" customHeight="true" outlineLevel="0" collapsed="false">
      <c r="B17" s="11" t="s">
        <v>32</v>
      </c>
      <c r="C17" s="9" t="s">
        <v>33</v>
      </c>
      <c r="D17" s="9" t="s">
        <v>34</v>
      </c>
      <c r="E17" s="10" t="s">
        <v>25</v>
      </c>
      <c r="F17" s="9" t="s">
        <v>35</v>
      </c>
    </row>
    <row r="18" customFormat="false" ht="23.25" hidden="false" customHeight="true" outlineLevel="0" collapsed="false">
      <c r="B18" s="8" t="s">
        <v>36</v>
      </c>
      <c r="C18" s="9" t="s">
        <v>37</v>
      </c>
      <c r="D18" s="9" t="s">
        <v>38</v>
      </c>
      <c r="E18" s="10" t="s">
        <v>39</v>
      </c>
      <c r="F18" s="9" t="s">
        <v>40</v>
      </c>
    </row>
    <row r="19" customFormat="false" ht="23.25" hidden="false" customHeight="true" outlineLevel="0" collapsed="false">
      <c r="B19" s="12" t="s">
        <v>41</v>
      </c>
      <c r="C19" s="9" t="s">
        <v>42</v>
      </c>
      <c r="D19" s="9" t="s">
        <v>43</v>
      </c>
      <c r="E19" s="10" t="s">
        <v>44</v>
      </c>
      <c r="F19" s="9" t="s">
        <v>45</v>
      </c>
    </row>
    <row r="20" customFormat="false" ht="23.25" hidden="false" customHeight="true" outlineLevel="0" collapsed="false">
      <c r="B20" s="13" t="s">
        <v>46</v>
      </c>
      <c r="C20" s="9" t="s">
        <v>47</v>
      </c>
      <c r="D20" s="9" t="s">
        <v>48</v>
      </c>
      <c r="E20" s="10" t="s">
        <v>30</v>
      </c>
      <c r="F20" s="9" t="s">
        <v>49</v>
      </c>
    </row>
  </sheetData>
  <mergeCells count="10">
    <mergeCell ref="B2:F2"/>
    <mergeCell ref="B3:F3"/>
    <mergeCell ref="C5:F5"/>
    <mergeCell ref="C6:F6"/>
    <mergeCell ref="C7:F7"/>
    <mergeCell ref="C8:F8"/>
    <mergeCell ref="C9:F9"/>
    <mergeCell ref="C10:F10"/>
    <mergeCell ref="C11:F11"/>
    <mergeCell ref="B13:F13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P14" activeCellId="0" sqref="P1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30" hidden="false" customHeight="true" outlineLevel="0" collapsed="false">
      <c r="B2" s="14" t="s">
        <v>50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customFormat="false" ht="21.75" hidden="false" customHeight="true" outlineLevel="0" collapsed="false">
      <c r="B3" s="15" t="s">
        <v>51</v>
      </c>
      <c r="C3" s="15"/>
      <c r="D3" s="15" t="s">
        <v>52</v>
      </c>
      <c r="E3" s="15"/>
      <c r="F3" s="15" t="s">
        <v>53</v>
      </c>
      <c r="G3" s="15"/>
      <c r="H3" s="15" t="s">
        <v>54</v>
      </c>
      <c r="I3" s="15"/>
      <c r="J3" s="15" t="s">
        <v>55</v>
      </c>
      <c r="K3" s="15"/>
    </row>
    <row r="4" customFormat="false" ht="31.5" hidden="false" customHeight="true" outlineLevel="0" collapsed="false">
      <c r="B4" s="16" t="n">
        <f aca="false">'P&amp;L'!L5</f>
        <v>5055.31996054249</v>
      </c>
      <c r="C4" s="16"/>
      <c r="D4" s="17" t="str">
        <f aca="false">"₹ "&amp;TEXT('P&amp;L'!L16,"#,##0.0")&amp;" Cr ("&amp;TEXT(IFERROR('P&amp;L'!L16/'P&amp;L'!L5,0),"0.0%")&amp;")"</f>
        <v>₹ 2,347.1 Cr (46.4%)</v>
      </c>
      <c r="E4" s="17"/>
      <c r="F4" s="16" t="n">
        <f aca="false">SUM(CashFlow!C27:L27)</f>
        <v>4803.26547602577</v>
      </c>
      <c r="G4" s="16"/>
      <c r="H4" s="18" t="n">
        <f aca="false">IFERROR(IRR(CashFlow!C27:L27),0)</f>
        <v>0.318968593472284</v>
      </c>
      <c r="I4" s="18"/>
      <c r="J4" s="16" t="n">
        <f aca="false">NPV(Assumptions!$C$7,CashFlow!C27:L27)</f>
        <v>747.152631257461</v>
      </c>
      <c r="K4" s="16"/>
    </row>
    <row r="6" customFormat="false" ht="25.5" hidden="false" customHeight="true" outlineLevel="0" collapsed="false">
      <c r="B6" s="19" t="s">
        <v>56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</row>
    <row r="8" customFormat="false" ht="15" hidden="false" customHeight="true" outlineLevel="0" collapsed="false">
      <c r="B8" s="20" t="s">
        <v>57</v>
      </c>
      <c r="C8" s="21" t="s">
        <v>30</v>
      </c>
      <c r="D8" s="21" t="s">
        <v>25</v>
      </c>
      <c r="E8" s="21" t="s">
        <v>44</v>
      </c>
      <c r="F8" s="21" t="s">
        <v>39</v>
      </c>
      <c r="G8" s="21" t="s">
        <v>58</v>
      </c>
      <c r="H8" s="21" t="s">
        <v>59</v>
      </c>
      <c r="I8" s="21" t="s">
        <v>60</v>
      </c>
      <c r="J8" s="21" t="s">
        <v>61</v>
      </c>
      <c r="K8" s="21" t="s">
        <v>62</v>
      </c>
      <c r="L8" s="21" t="s">
        <v>63</v>
      </c>
    </row>
    <row r="9" customFormat="false" ht="15" hidden="false" customHeight="true" outlineLevel="0" collapsed="false">
      <c r="B9" s="22" t="s">
        <v>64</v>
      </c>
      <c r="C9" s="23" t="n">
        <f aca="false">'P&amp;L'!C5</f>
        <v>52.5</v>
      </c>
      <c r="D9" s="23" t="n">
        <f aca="false">'P&amp;L'!D5</f>
        <v>203.4075</v>
      </c>
      <c r="E9" s="23" t="n">
        <f aca="false">'P&amp;L'!E5</f>
        <v>491.025407</v>
      </c>
      <c r="F9" s="23" t="n">
        <f aca="false">'P&amp;L'!F5</f>
        <v>855.20352269</v>
      </c>
      <c r="G9" s="23" t="n">
        <f aca="false">'P&amp;L'!G5</f>
        <v>1447.7017222023</v>
      </c>
      <c r="H9" s="23" t="n">
        <f aca="false">'P&amp;L'!H5</f>
        <v>2180.22740612554</v>
      </c>
      <c r="I9" s="23" t="n">
        <f aca="false">'P&amp;L'!I5</f>
        <v>2883.84621804161</v>
      </c>
      <c r="J9" s="23" t="n">
        <f aca="false">'P&amp;L'!J5</f>
        <v>3659.34396004101</v>
      </c>
      <c r="K9" s="23" t="n">
        <f aca="false">'P&amp;L'!K5</f>
        <v>4380.65785719232</v>
      </c>
      <c r="L9" s="23" t="n">
        <f aca="false">'P&amp;L'!L5</f>
        <v>5055.31996054249</v>
      </c>
    </row>
    <row r="10" customFormat="false" ht="15" hidden="false" customHeight="true" outlineLevel="0" collapsed="false">
      <c r="B10" s="22" t="s">
        <v>65</v>
      </c>
      <c r="C10" s="24" t="n">
        <f aca="false">0</f>
        <v>0</v>
      </c>
      <c r="D10" s="24" t="n">
        <f aca="false">IFERROR(D9/C9-1,0)</f>
        <v>2.87442857142857</v>
      </c>
      <c r="E10" s="24" t="n">
        <f aca="false">IFERROR(E9/D9-1,0)</f>
        <v>1.41399853496061</v>
      </c>
      <c r="F10" s="24" t="n">
        <f aca="false">IFERROR(F9/E9-1,0)</f>
        <v>0.741668578648518</v>
      </c>
      <c r="G10" s="24" t="n">
        <f aca="false">IFERROR(G9/F9-1,0)</f>
        <v>0.692815433744504</v>
      </c>
      <c r="H10" s="24" t="n">
        <f aca="false">IFERROR(H9/G9-1,0)</f>
        <v>0.505992134076414</v>
      </c>
      <c r="I10" s="24" t="n">
        <f aca="false">IFERROR(I9/H9-1,0)</f>
        <v>0.322727257688438</v>
      </c>
      <c r="J10" s="24" t="n">
        <f aca="false">IFERROR(J9/I9-1,0)</f>
        <v>0.268910920820884</v>
      </c>
      <c r="K10" s="24" t="n">
        <f aca="false">IFERROR(K9/J9-1,0)</f>
        <v>0.197115631935083</v>
      </c>
      <c r="L10" s="24" t="n">
        <f aca="false">IFERROR(L9/K9-1,0)</f>
        <v>0.154009312149883</v>
      </c>
    </row>
    <row r="11" customFormat="false" ht="15" hidden="false" customHeight="true" outlineLevel="0" collapsed="false">
      <c r="B11" s="22" t="s">
        <v>66</v>
      </c>
      <c r="C11" s="23" t="n">
        <f aca="false">'P&amp;L'!C9</f>
        <v>27.0116167664671</v>
      </c>
      <c r="D11" s="23" t="n">
        <f aca="false">'P&amp;L'!D9</f>
        <v>117.730067109062</v>
      </c>
      <c r="E11" s="23" t="n">
        <f aca="false">'P&amp;L'!E9</f>
        <v>311.477210232326</v>
      </c>
      <c r="F11" s="23" t="n">
        <f aca="false">'P&amp;L'!F9</f>
        <v>533.258596357979</v>
      </c>
      <c r="G11" s="23" t="n">
        <f aca="false">'P&amp;L'!G9</f>
        <v>918.765814477174</v>
      </c>
      <c r="H11" s="23" t="n">
        <f aca="false">'P&amp;L'!H9</f>
        <v>1408.76919188295</v>
      </c>
      <c r="I11" s="23" t="n">
        <f aca="false">'P&amp;L'!I9</f>
        <v>1885.43164999924</v>
      </c>
      <c r="J11" s="23" t="n">
        <f aca="false">'P&amp;L'!J9</f>
        <v>2410.69442355408</v>
      </c>
      <c r="K11" s="23" t="n">
        <f aca="false">'P&amp;L'!K9</f>
        <v>2905.56732911368</v>
      </c>
      <c r="L11" s="23" t="n">
        <f aca="false">'P&amp;L'!L9</f>
        <v>3377.34793669668</v>
      </c>
    </row>
    <row r="12" customFormat="false" ht="15" hidden="false" customHeight="true" outlineLevel="0" collapsed="false">
      <c r="B12" s="22" t="s">
        <v>67</v>
      </c>
      <c r="C12" s="24" t="n">
        <f aca="false">IFERROR(C11/C9,0)</f>
        <v>0.514506986027944</v>
      </c>
      <c r="D12" s="24" t="n">
        <f aca="false">IFERROR(D11/D9,0)</f>
        <v>0.578789214306563</v>
      </c>
      <c r="E12" s="24" t="n">
        <f aca="false">IFERROR(E11/E9,0)</f>
        <v>0.634340312725052</v>
      </c>
      <c r="F12" s="24" t="n">
        <f aca="false">IFERROR(F11/F9,0)</f>
        <v>0.623545836996368</v>
      </c>
      <c r="G12" s="24" t="n">
        <f aca="false">IFERROR(G11/G9,0)</f>
        <v>0.634637508809144</v>
      </c>
      <c r="H12" s="24" t="n">
        <f aca="false">IFERROR(H11/H9,0)</f>
        <v>0.646156996249517</v>
      </c>
      <c r="I12" s="24" t="n">
        <f aca="false">IFERROR(I11/I9,0)</f>
        <v>0.653790634952656</v>
      </c>
      <c r="J12" s="24" t="n">
        <f aca="false">IFERROR(J11/J9,0)</f>
        <v>0.658777761773198</v>
      </c>
      <c r="K12" s="24" t="n">
        <f aca="false">IFERROR(K11/K9,0)</f>
        <v>0.663271915733665</v>
      </c>
      <c r="L12" s="24" t="n">
        <f aca="false">IFERROR(L11/L9,0)</f>
        <v>0.668077977864384</v>
      </c>
    </row>
    <row r="13" customFormat="false" ht="15" hidden="false" customHeight="true" outlineLevel="0" collapsed="false">
      <c r="B13" s="22" t="s">
        <v>68</v>
      </c>
      <c r="C13" s="25" t="n">
        <f aca="false">'P&amp;L'!C12</f>
        <v>301.9362375</v>
      </c>
      <c r="D13" s="25" t="n">
        <f aca="false">'P&amp;L'!D12</f>
        <v>347.8087275</v>
      </c>
      <c r="E13" s="25" t="n">
        <f aca="false">'P&amp;L'!E12</f>
        <v>185.2173741</v>
      </c>
      <c r="F13" s="25" t="n">
        <f aca="false">'P&amp;L'!F12</f>
        <v>118.02113942</v>
      </c>
      <c r="G13" s="25" t="n">
        <f aca="false">'P&amp;L'!G12</f>
        <v>80.5862278152</v>
      </c>
      <c r="H13" s="25" t="n">
        <f aca="false">'P&amp;L'!H12</f>
        <v>66.911876246688</v>
      </c>
      <c r="I13" s="25" t="n">
        <f aca="false">'P&amp;L'!I12</f>
        <v>63.4041977134663</v>
      </c>
      <c r="J13" s="25" t="n">
        <f aca="false">'P&amp;L'!J12</f>
        <v>65.9176679630945</v>
      </c>
      <c r="K13" s="25" t="n">
        <f aca="false">'P&amp;L'!K12</f>
        <v>67.4978486448128</v>
      </c>
      <c r="L13" s="25" t="n">
        <f aca="false">'P&amp;L'!L12</f>
        <v>68.6407946206919</v>
      </c>
    </row>
    <row r="14" customFormat="false" ht="34.5" hidden="false" customHeight="true" outlineLevel="0" collapsed="false">
      <c r="B14" s="22" t="s">
        <v>69</v>
      </c>
      <c r="C14" s="25" t="n">
        <f aca="false">'R&amp;D_NRE'!D8-'R&amp;D_NRE'!D6</f>
        <v>119.897125</v>
      </c>
      <c r="D14" s="25" t="n">
        <f aca="false">'R&amp;D_NRE'!E8-'R&amp;D_NRE'!E6</f>
        <v>198.600825</v>
      </c>
      <c r="E14" s="25" t="n">
        <f aca="false">'R&amp;D_NRE'!F8-'R&amp;D_NRE'!F6</f>
        <v>210.945543</v>
      </c>
      <c r="F14" s="25" t="n">
        <f aca="false">'R&amp;D_NRE'!G8-'R&amp;D_NRE'!G6</f>
        <v>179.769925</v>
      </c>
      <c r="G14" s="25" t="n">
        <f aca="false">'R&amp;D_NRE'!H8-'R&amp;D_NRE'!H6</f>
        <v>123.167215</v>
      </c>
      <c r="H14" s="25" t="n">
        <f aca="false">'R&amp;D_NRE'!I8-'R&amp;D_NRE'!I6</f>
        <v>71.689147</v>
      </c>
      <c r="I14" s="25" t="n">
        <f aca="false">'R&amp;D_NRE'!J8-'R&amp;D_NRE'!J6</f>
        <v>45.8740465</v>
      </c>
      <c r="J14" s="25" t="n">
        <f aca="false">'R&amp;D_NRE'!K8-'R&amp;D_NRE'!K6</f>
        <v>26.46499075</v>
      </c>
      <c r="K14" s="25" t="n">
        <f aca="false">'R&amp;D_NRE'!L8-'R&amp;D_NRE'!L6</f>
        <v>9.21528975</v>
      </c>
      <c r="L14" s="25" t="n">
        <f aca="false">'R&amp;D_NRE'!M8-'R&amp;D_NRE'!M6</f>
        <v>8.699625</v>
      </c>
    </row>
    <row r="15" customFormat="false" ht="15" hidden="false" customHeight="true" outlineLevel="0" collapsed="false">
      <c r="B15" s="22" t="s">
        <v>70</v>
      </c>
      <c r="C15" s="23" t="n">
        <f aca="false">'P&amp;L'!C16</f>
        <v>-324.496229633533</v>
      </c>
      <c r="D15" s="23" t="n">
        <f aca="false">'P&amp;L'!D16</f>
        <v>-316.782364832938</v>
      </c>
      <c r="E15" s="23" t="n">
        <f aca="false">'P&amp;L'!E16</f>
        <v>-22.7994001178141</v>
      </c>
      <c r="F15" s="23" t="n">
        <f aca="false">'P&amp;L'!F16</f>
        <v>190.463919339265</v>
      </c>
      <c r="G15" s="23" t="n">
        <f aca="false">'P&amp;L'!G16</f>
        <v>501.693009868376</v>
      </c>
      <c r="H15" s="23" t="n">
        <f aca="false">'P&amp;L'!H16</f>
        <v>876.561939518791</v>
      </c>
      <c r="I15" s="23" t="n">
        <f aca="false">'P&amp;L'!I16</f>
        <v>1232.89387022143</v>
      </c>
      <c r="J15" s="23" t="n">
        <f aca="false">'P&amp;L'!J16</f>
        <v>1622.84154064527</v>
      </c>
      <c r="K15" s="23" t="n">
        <f aca="false">'P&amp;L'!K16</f>
        <v>1992.58605612469</v>
      </c>
      <c r="L15" s="23" t="n">
        <f aca="false">'P&amp;L'!L16</f>
        <v>2347.09012381516</v>
      </c>
    </row>
    <row r="16" customFormat="false" ht="15" hidden="false" customHeight="true" outlineLevel="0" collapsed="false">
      <c r="B16" s="22" t="s">
        <v>71</v>
      </c>
      <c r="C16" s="24" t="n">
        <f aca="false">IFERROR(C15/C9,0)</f>
        <v>-6.18088056444825</v>
      </c>
      <c r="D16" s="24" t="n">
        <f aca="false">IFERROR(D15/D9,0)</f>
        <v>-1.55737799654849</v>
      </c>
      <c r="E16" s="24" t="n">
        <f aca="false">IFERROR(E15/E9,0)</f>
        <v>-0.0464322208032183</v>
      </c>
      <c r="F16" s="24" t="n">
        <f aca="false">IFERROR(F15/F9,0)</f>
        <v>0.22271180401616</v>
      </c>
      <c r="G16" s="24" t="n">
        <f aca="false">IFERROR(G15/G9,0)</f>
        <v>0.34654445883036</v>
      </c>
      <c r="H16" s="24" t="n">
        <f aca="false">IFERROR(H15/H9,0)</f>
        <v>0.402050692994691</v>
      </c>
      <c r="I16" s="24" t="n">
        <f aca="false">IFERROR(I15/I9,0)</f>
        <v>0.427517203416857</v>
      </c>
      <c r="J16" s="24" t="n">
        <f aca="false">IFERROR(J15/J9,0)</f>
        <v>0.4434788198011</v>
      </c>
      <c r="K16" s="24" t="n">
        <f aca="false">IFERROR(K15/K9,0)</f>
        <v>0.454860005296509</v>
      </c>
      <c r="L16" s="24" t="n">
        <f aca="false">IFERROR(L15/L9,0)</f>
        <v>0.464281220997789</v>
      </c>
    </row>
    <row r="17" customFormat="false" ht="15" hidden="false" customHeight="true" outlineLevel="0" collapsed="false">
      <c r="B17" s="22" t="s">
        <v>72</v>
      </c>
      <c r="C17" s="23" t="n">
        <f aca="false">'P&amp;L'!C24</f>
        <v>-335.068253443057</v>
      </c>
      <c r="D17" s="23" t="n">
        <f aca="false">'P&amp;L'!D24</f>
        <v>-355.71343626151</v>
      </c>
      <c r="E17" s="23" t="n">
        <f aca="false">'P&amp;L'!E24</f>
        <v>-91.4176144035284</v>
      </c>
      <c r="F17" s="23" t="n">
        <f aca="false">'P&amp;L'!F24</f>
        <v>99.4880860059317</v>
      </c>
      <c r="G17" s="23" t="n">
        <f aca="false">'P&amp;L'!G24</f>
        <v>400.127771773138</v>
      </c>
      <c r="H17" s="23" t="n">
        <f aca="false">'P&amp;L'!H24</f>
        <v>671.232375745159</v>
      </c>
      <c r="I17" s="23" t="n">
        <f aca="false">'P&amp;L'!I24</f>
        <v>844.091295523215</v>
      </c>
      <c r="J17" s="23" t="n">
        <f aca="false">'P&amp;L'!J24</f>
        <v>1154.52391738871</v>
      </c>
      <c r="K17" s="23" t="n">
        <f aca="false">'P&amp;L'!K24</f>
        <v>1443.63157185542</v>
      </c>
      <c r="L17" s="23" t="n">
        <f aca="false">'P&amp;L'!L24</f>
        <v>1717.34820595661</v>
      </c>
    </row>
    <row r="18" customFormat="false" ht="15" hidden="false" customHeight="true" outlineLevel="0" collapsed="false">
      <c r="B18" s="22" t="s">
        <v>73</v>
      </c>
      <c r="C18" s="23" t="n">
        <f aca="false">CashFlow!C27</f>
        <v>-359.921784004791</v>
      </c>
      <c r="D18" s="23" t="n">
        <f aca="false">CashFlow!D27</f>
        <v>-467.733366785221</v>
      </c>
      <c r="E18" s="23" t="n">
        <f aca="false">CashFlow!E27</f>
        <v>-234.127091952644</v>
      </c>
      <c r="F18" s="23" t="n">
        <f aca="false">CashFlow!F27</f>
        <v>2.99271107454024</v>
      </c>
      <c r="G18" s="23" t="n">
        <f aca="false">CashFlow!G27</f>
        <v>265.534793799362</v>
      </c>
      <c r="H18" s="23" t="n">
        <f aca="false">CashFlow!H27</f>
        <v>571.973886461743</v>
      </c>
      <c r="I18" s="23" t="n">
        <f aca="false">CashFlow!I27</f>
        <v>925.834811623233</v>
      </c>
      <c r="J18" s="23" t="n">
        <f aca="false">CashFlow!J27</f>
        <v>1071.83055781766</v>
      </c>
      <c r="K18" s="23" t="n">
        <f aca="false">CashFlow!K27</f>
        <v>1365.98618504548</v>
      </c>
      <c r="L18" s="23" t="n">
        <f aca="false">CashFlow!L27</f>
        <v>1660.8947729464</v>
      </c>
    </row>
    <row r="19" customFormat="false" ht="15" hidden="false" customHeight="true" outlineLevel="0" collapsed="false">
      <c r="B19" s="22" t="s">
        <v>74</v>
      </c>
      <c r="C19" s="25" t="n">
        <f aca="false">CashFlow!C28</f>
        <v>-359.921784004791</v>
      </c>
      <c r="D19" s="25" t="n">
        <f aca="false">CashFlow!D28</f>
        <v>-827.655150790011</v>
      </c>
      <c r="E19" s="25" t="n">
        <f aca="false">CashFlow!E28</f>
        <v>-1061.78224274266</v>
      </c>
      <c r="F19" s="25" t="n">
        <f aca="false">CashFlow!F28</f>
        <v>-1058.78953166812</v>
      </c>
      <c r="G19" s="25" t="n">
        <f aca="false">CashFlow!G28</f>
        <v>-793.254737868753</v>
      </c>
      <c r="H19" s="25" t="n">
        <f aca="false">CashFlow!H28</f>
        <v>-221.28085140701</v>
      </c>
      <c r="I19" s="25" t="n">
        <f aca="false">CashFlow!I28</f>
        <v>704.553960216223</v>
      </c>
      <c r="J19" s="25" t="n">
        <f aca="false">CashFlow!J28</f>
        <v>1776.38451803389</v>
      </c>
      <c r="K19" s="25" t="n">
        <f aca="false">CashFlow!K28</f>
        <v>3142.37070307937</v>
      </c>
      <c r="L19" s="25" t="n">
        <f aca="false">CashFlow!L28</f>
        <v>4803.26547602577</v>
      </c>
    </row>
    <row r="20" customFormat="false" ht="15" hidden="false" customHeight="true" outlineLevel="0" collapsed="false">
      <c r="B20" s="22" t="s">
        <v>75</v>
      </c>
      <c r="C20" s="25" t="n">
        <f aca="false">CashFlow!C30</f>
        <v>110.078215995209</v>
      </c>
      <c r="D20" s="25" t="n">
        <f aca="false">CashFlow!D30</f>
        <v>142.344849209989</v>
      </c>
      <c r="E20" s="25" t="n">
        <f aca="false">CashFlow!E30</f>
        <v>238.217757257345</v>
      </c>
      <c r="F20" s="25" t="n">
        <f aca="false">CashFlow!F30</f>
        <v>241.210468331885</v>
      </c>
      <c r="G20" s="25" t="n">
        <f aca="false">CashFlow!G30</f>
        <v>470.745262131247</v>
      </c>
      <c r="H20" s="25" t="n">
        <f aca="false">CashFlow!H30</f>
        <v>1006.71914859299</v>
      </c>
      <c r="I20" s="25" t="n">
        <f aca="false">CashFlow!I30</f>
        <v>1877.55396021622</v>
      </c>
      <c r="J20" s="25" t="n">
        <f aca="false">CashFlow!J30</f>
        <v>2884.38451803389</v>
      </c>
      <c r="K20" s="25" t="n">
        <f aca="false">CashFlow!K30</f>
        <v>4242.37070307937</v>
      </c>
      <c r="L20" s="25" t="n">
        <f aca="false">CashFlow!L30</f>
        <v>5903.26547602577</v>
      </c>
    </row>
    <row r="21" customFormat="false" ht="15" hidden="false" customHeight="true" outlineLevel="0" collapsed="false">
      <c r="B21" s="22" t="s">
        <v>76</v>
      </c>
      <c r="C21" s="25" t="n">
        <f aca="false">Backlog!D63</f>
        <v>7.65099</v>
      </c>
      <c r="D21" s="25" t="n">
        <f aca="false">Backlog!E63</f>
        <v>20.3007222</v>
      </c>
      <c r="E21" s="25" t="n">
        <f aca="false">Backlog!F63</f>
        <v>38.334047274</v>
      </c>
      <c r="F21" s="25" t="n">
        <f aca="false">Backlog!G63</f>
        <v>68.28529086558</v>
      </c>
      <c r="G21" s="25" t="n">
        <f aca="false">Backlog!H63</f>
        <v>105.989328865939</v>
      </c>
      <c r="H21" s="25" t="n">
        <f aca="false">Backlog!I63</f>
        <v>143.597938355679</v>
      </c>
      <c r="I21" s="25" t="n">
        <f aca="false">Backlog!J63</f>
        <v>185.37943363093</v>
      </c>
      <c r="J21" s="25" t="n">
        <f aca="false">Backlog!K63</f>
        <v>225.304661950192</v>
      </c>
      <c r="K21" s="25" t="n">
        <f aca="false">Backlog!L63</f>
        <v>263.17484832073</v>
      </c>
      <c r="L21" s="25" t="n">
        <f aca="false">Backlog!M63</f>
        <v>300.235374830965</v>
      </c>
    </row>
    <row r="22" customFormat="false" ht="15" hidden="false" customHeight="true" outlineLevel="0" collapsed="false">
      <c r="B22" s="22" t="s">
        <v>77</v>
      </c>
      <c r="C22" s="25" t="n">
        <f aca="false">CashFlow!C30+Backlog!D63</f>
        <v>117.729205995209</v>
      </c>
      <c r="D22" s="25" t="n">
        <f aca="false">CashFlow!D30+Backlog!E63</f>
        <v>162.645571409989</v>
      </c>
      <c r="E22" s="25" t="n">
        <f aca="false">CashFlow!E30+Backlog!F63</f>
        <v>276.551804531345</v>
      </c>
      <c r="F22" s="25" t="n">
        <f aca="false">CashFlow!F30+Backlog!G63</f>
        <v>309.495759197465</v>
      </c>
      <c r="G22" s="25" t="n">
        <f aca="false">CashFlow!G30+Backlog!H63</f>
        <v>576.734590997186</v>
      </c>
      <c r="H22" s="25" t="n">
        <f aca="false">CashFlow!H30+Backlog!I63</f>
        <v>1150.31708694867</v>
      </c>
      <c r="I22" s="25" t="n">
        <f aca="false">CashFlow!I30+Backlog!J63</f>
        <v>2062.93339384715</v>
      </c>
      <c r="J22" s="25" t="n">
        <f aca="false">CashFlow!J30+Backlog!K63</f>
        <v>3109.68917998408</v>
      </c>
      <c r="K22" s="25" t="n">
        <f aca="false">CashFlow!K30+Backlog!L63</f>
        <v>4505.5455514001</v>
      </c>
      <c r="L22" s="25" t="n">
        <f aca="false">CashFlow!L30+Backlog!M63</f>
        <v>6203.50085085673</v>
      </c>
    </row>
    <row r="23" customFormat="false" ht="15" hidden="false" customHeight="true" outlineLevel="0" collapsed="false">
      <c r="B23" s="22" t="s">
        <v>78</v>
      </c>
      <c r="C23" s="23" t="n">
        <f aca="false">CashFlow!C30</f>
        <v>110.078215995209</v>
      </c>
      <c r="D23" s="23" t="n">
        <f aca="false">CashFlow!D30</f>
        <v>142.344849209989</v>
      </c>
      <c r="E23" s="23" t="n">
        <f aca="false">CashFlow!E30</f>
        <v>238.217757257345</v>
      </c>
      <c r="F23" s="23" t="n">
        <f aca="false">CashFlow!F30</f>
        <v>241.210468331885</v>
      </c>
      <c r="G23" s="23" t="n">
        <f aca="false">CashFlow!G30</f>
        <v>470.745262131247</v>
      </c>
      <c r="H23" s="23" t="n">
        <f aca="false">CashFlow!H30</f>
        <v>1006.71914859299</v>
      </c>
      <c r="I23" s="23" t="n">
        <f aca="false">CashFlow!I30</f>
        <v>1877.55396021622</v>
      </c>
      <c r="J23" s="23" t="n">
        <f aca="false">CashFlow!J30</f>
        <v>2884.38451803389</v>
      </c>
      <c r="K23" s="23" t="n">
        <f aca="false">CashFlow!K30</f>
        <v>4242.37070307937</v>
      </c>
      <c r="L23" s="23" t="n">
        <f aca="false">CashFlow!L30</f>
        <v>5903.26547602577</v>
      </c>
    </row>
    <row r="24" customFormat="false" ht="15" hidden="false" customHeight="true" outlineLevel="0" collapsed="false">
      <c r="B24" s="22" t="s">
        <v>79</v>
      </c>
      <c r="C24" s="25" t="n">
        <f aca="false">Backlog!D56</f>
        <v>63.75825</v>
      </c>
      <c r="D24" s="25" t="n">
        <f aca="false">Backlog!E56</f>
        <v>169.172685</v>
      </c>
      <c r="E24" s="25" t="n">
        <f aca="false">Backlog!F56</f>
        <v>319.45039395</v>
      </c>
      <c r="F24" s="25" t="n">
        <f aca="false">Backlog!G56</f>
        <v>569.0440905465</v>
      </c>
      <c r="G24" s="25" t="n">
        <f aca="false">Backlog!H56</f>
        <v>883.244407216155</v>
      </c>
      <c r="H24" s="25" t="n">
        <f aca="false">Backlog!I56</f>
        <v>1196.64948629732</v>
      </c>
      <c r="I24" s="25" t="n">
        <f aca="false">Backlog!J56</f>
        <v>1544.82861359108</v>
      </c>
      <c r="J24" s="25" t="n">
        <f aca="false">Backlog!K56</f>
        <v>1877.53884958493</v>
      </c>
      <c r="K24" s="25" t="n">
        <f aca="false">Backlog!L56</f>
        <v>2193.12373600608</v>
      </c>
      <c r="L24" s="25" t="n">
        <f aca="false">Backlog!M56</f>
        <v>2501.96145692471</v>
      </c>
    </row>
    <row r="25" customFormat="false" ht="15" hidden="false" customHeight="true" outlineLevel="0" collapsed="false">
      <c r="B25" s="22" t="s">
        <v>80</v>
      </c>
      <c r="C25" s="25" t="n">
        <f aca="false">Backlog!D62</f>
        <v>76.5099</v>
      </c>
      <c r="D25" s="25" t="n">
        <f aca="false">Backlog!E62</f>
        <v>203.007222</v>
      </c>
      <c r="E25" s="25" t="n">
        <f aca="false">Backlog!F62</f>
        <v>383.34047274</v>
      </c>
      <c r="F25" s="25" t="n">
        <f aca="false">Backlog!G62</f>
        <v>682.8529086558</v>
      </c>
      <c r="G25" s="25" t="n">
        <f aca="false">Backlog!H62</f>
        <v>1059.89328865939</v>
      </c>
      <c r="H25" s="25" t="n">
        <f aca="false">Backlog!I62</f>
        <v>1435.97938355679</v>
      </c>
      <c r="I25" s="25" t="n">
        <f aca="false">Backlog!J62</f>
        <v>1853.7943363093</v>
      </c>
      <c r="J25" s="25" t="n">
        <f aca="false">Backlog!K62</f>
        <v>2253.04661950192</v>
      </c>
      <c r="K25" s="25" t="n">
        <f aca="false">Backlog!L62</f>
        <v>2631.7484832073</v>
      </c>
      <c r="L25" s="25" t="n">
        <f aca="false">Backlog!M62</f>
        <v>3002.35374830965</v>
      </c>
    </row>
    <row r="26" customFormat="false" ht="15" hidden="false" customHeight="true" outlineLevel="0" collapsed="false">
      <c r="B26" s="22" t="s">
        <v>81</v>
      </c>
      <c r="C26" s="25" t="n">
        <f aca="false">Funding!D9</f>
        <v>450</v>
      </c>
      <c r="D26" s="25" t="n">
        <f aca="false">Funding!E9</f>
        <v>400</v>
      </c>
      <c r="E26" s="25" t="n">
        <f aca="false">Funding!F9</f>
        <v>250</v>
      </c>
      <c r="F26" s="25" t="n">
        <f aca="false">Funding!G9</f>
        <v>0</v>
      </c>
      <c r="G26" s="25" t="n">
        <f aca="false">Funding!H9</f>
        <v>0</v>
      </c>
      <c r="H26" s="25" t="n">
        <f aca="false">Funding!I9</f>
        <v>0</v>
      </c>
      <c r="I26" s="25" t="n">
        <f aca="false">Funding!J9</f>
        <v>0</v>
      </c>
      <c r="J26" s="25" t="n">
        <f aca="false">Funding!K9</f>
        <v>0</v>
      </c>
      <c r="K26" s="25" t="n">
        <f aca="false">Funding!L9</f>
        <v>0</v>
      </c>
      <c r="L26" s="25" t="n">
        <f aca="false">Funding!M9</f>
        <v>0</v>
      </c>
    </row>
    <row r="27" customFormat="false" ht="15" hidden="false" customHeight="true" outlineLevel="0" collapsed="false">
      <c r="B27" s="22" t="s">
        <v>82</v>
      </c>
      <c r="C27" s="25" t="n">
        <f aca="false">Funding!D16</f>
        <v>20</v>
      </c>
      <c r="D27" s="25" t="n">
        <f aca="false">Funding!E16</f>
        <v>120</v>
      </c>
      <c r="E27" s="25" t="n">
        <f aca="false">Funding!F16</f>
        <v>200</v>
      </c>
      <c r="F27" s="25" t="n">
        <f aca="false">Funding!G16</f>
        <v>200</v>
      </c>
      <c r="G27" s="25" t="n">
        <f aca="false">Funding!H16</f>
        <v>164</v>
      </c>
      <c r="H27" s="25" t="n">
        <f aca="false">Funding!I16</f>
        <v>128</v>
      </c>
      <c r="I27" s="25" t="n">
        <f aca="false">Funding!J16</f>
        <v>73</v>
      </c>
      <c r="J27" s="25" t="n">
        <f aca="false">Funding!K16</f>
        <v>8</v>
      </c>
      <c r="K27" s="25" t="n">
        <f aca="false">Funding!L16</f>
        <v>0</v>
      </c>
      <c r="L27" s="25" t="n">
        <f aca="false">Funding!M16</f>
        <v>0</v>
      </c>
    </row>
    <row r="28" customFormat="false" ht="15" hidden="false" customHeight="true" outlineLevel="0" collapsed="false">
      <c r="B28" s="22" t="s">
        <v>83</v>
      </c>
      <c r="C28" s="26" t="n">
        <f aca="false">Headcount!D34</f>
        <v>91</v>
      </c>
      <c r="D28" s="26" t="n">
        <f aca="false">Headcount!E34</f>
        <v>156</v>
      </c>
      <c r="E28" s="26" t="n">
        <f aca="false">Headcount!F34</f>
        <v>216</v>
      </c>
      <c r="F28" s="26" t="n">
        <f aca="false">Headcount!G34</f>
        <v>287</v>
      </c>
      <c r="G28" s="26" t="n">
        <f aca="false">Headcount!H34</f>
        <v>349</v>
      </c>
      <c r="H28" s="26" t="n">
        <f aca="false">Headcount!I34</f>
        <v>414</v>
      </c>
      <c r="I28" s="26" t="n">
        <f aca="false">Headcount!J34</f>
        <v>475</v>
      </c>
      <c r="J28" s="26" t="n">
        <f aca="false">Headcount!K34</f>
        <v>506</v>
      </c>
      <c r="K28" s="26" t="n">
        <f aca="false">Headcount!L34</f>
        <v>530</v>
      </c>
      <c r="L28" s="26" t="n">
        <f aca="false">Headcount!M34</f>
        <v>543</v>
      </c>
    </row>
    <row r="29" customFormat="false" ht="15" hidden="false" customHeight="true" outlineLevel="0" collapsed="false">
      <c r="B29" s="22" t="s">
        <v>84</v>
      </c>
      <c r="C29" s="25" t="n">
        <f aca="false">IFERROR(C9/C28,0)</f>
        <v>0.576923076923077</v>
      </c>
      <c r="D29" s="25" t="n">
        <f aca="false">IFERROR(D9/D28,0)</f>
        <v>1.30389423076923</v>
      </c>
      <c r="E29" s="25" t="n">
        <f aca="false">IFERROR(E9/E28,0)</f>
        <v>2.27326577314815</v>
      </c>
      <c r="F29" s="25" t="n">
        <f aca="false">IFERROR(F9/F28,0)</f>
        <v>2.97980321494774</v>
      </c>
      <c r="G29" s="25" t="n">
        <f aca="false">IFERROR(G9/G28,0)</f>
        <v>4.1481424704937</v>
      </c>
      <c r="H29" s="25" t="n">
        <f aca="false">IFERROR(H9/H28,0)</f>
        <v>5.2662497732501</v>
      </c>
      <c r="I29" s="25" t="n">
        <f aca="false">IFERROR(I9/I28,0)</f>
        <v>6.07125519587708</v>
      </c>
      <c r="J29" s="25" t="n">
        <f aca="false">IFERROR(J9/J28,0)</f>
        <v>7.23190505936958</v>
      </c>
      <c r="K29" s="25" t="n">
        <f aca="false">IFERROR(K9/K28,0)</f>
        <v>8.26539218338173</v>
      </c>
      <c r="L29" s="25" t="n">
        <f aca="false">IFERROR(L9/L28,0)</f>
        <v>9.30998151112797</v>
      </c>
    </row>
    <row r="30" customFormat="false" ht="15" hidden="false" customHeight="true" outlineLevel="0" collapsed="false">
      <c r="B30" s="22" t="s">
        <v>85</v>
      </c>
      <c r="C30" s="25" t="n">
        <f aca="false">Capex!D21</f>
        <v>35.45</v>
      </c>
      <c r="D30" s="25" t="n">
        <f aca="false">Capex!E21</f>
        <v>67.225</v>
      </c>
      <c r="E30" s="25" t="n">
        <f aca="false">Capex!F21</f>
        <v>118.15</v>
      </c>
      <c r="F30" s="25" t="n">
        <f aca="false">Capex!G21</f>
        <v>135.7</v>
      </c>
      <c r="G30" s="25" t="n">
        <f aca="false">Capex!H21</f>
        <v>94.375</v>
      </c>
      <c r="H30" s="25" t="n">
        <f aca="false">Capex!I21</f>
        <v>47.1</v>
      </c>
      <c r="I30" s="25" t="n">
        <f aca="false">Capex!J21</f>
        <v>19.95</v>
      </c>
      <c r="J30" s="25" t="n">
        <f aca="false">Capex!K21</f>
        <v>29.45</v>
      </c>
      <c r="K30" s="25" t="n">
        <f aca="false">Capex!L21</f>
        <v>29.925</v>
      </c>
      <c r="L30" s="25" t="n">
        <f aca="false">Capex!M21</f>
        <v>22.8</v>
      </c>
    </row>
    <row r="31" customFormat="false" ht="15" hidden="false" customHeight="true" outlineLevel="0" collapsed="false">
      <c r="B31" s="22" t="s">
        <v>86</v>
      </c>
      <c r="C31" s="27" t="n">
        <f aca="false">BalanceSheet!C33</f>
        <v>2.24070193836313</v>
      </c>
      <c r="D31" s="27" t="n">
        <f aca="false">BalanceSheet!D33</f>
        <v>1.58055484232909</v>
      </c>
      <c r="E31" s="27" t="n">
        <f aca="false">BalanceSheet!E33</f>
        <v>1.64811408797624</v>
      </c>
      <c r="F31" s="27" t="n">
        <f aca="false">BalanceSheet!F33</f>
        <v>1.33165072348475</v>
      </c>
      <c r="G31" s="27" t="n">
        <f aca="false">BalanceSheet!G33</f>
        <v>1.49832223494815</v>
      </c>
      <c r="H31" s="27" t="n">
        <f aca="false">BalanceSheet!H33</f>
        <v>1.87009882130033</v>
      </c>
      <c r="I31" s="27" t="n">
        <f aca="false">BalanceSheet!I33</f>
        <v>2.23708973438243</v>
      </c>
      <c r="J31" s="27" t="n">
        <f aca="false">BalanceSheet!J33</f>
        <v>2.57062749931488</v>
      </c>
      <c r="K31" s="27" t="n">
        <f aca="false">BalanceSheet!K33</f>
        <v>2.95984743415431</v>
      </c>
      <c r="L31" s="27" t="n">
        <f aca="false">BalanceSheet!L33</f>
        <v>3.36317377012499</v>
      </c>
    </row>
    <row r="32" customFormat="false" ht="15" hidden="false" customHeight="true" outlineLevel="0" collapsed="false">
      <c r="B32" s="22" t="s">
        <v>87</v>
      </c>
      <c r="C32" s="24" t="n">
        <f aca="false">BalanceSheet!C35</f>
        <v>-1.85798521459509</v>
      </c>
      <c r="D32" s="24" t="n">
        <f aca="false">BalanceSheet!D35</f>
        <v>-0.940429289606035</v>
      </c>
      <c r="E32" s="24" t="n">
        <f aca="false">BalanceSheet!E35</f>
        <v>-0.113872405484282</v>
      </c>
      <c r="F32" s="24" t="n">
        <f aca="false">BalanceSheet!F35</f>
        <v>0.140316926282299</v>
      </c>
      <c r="G32" s="24" t="n">
        <f aca="false">BalanceSheet!G35</f>
        <v>0.316905016189612</v>
      </c>
      <c r="H32" s="24" t="n">
        <f aca="false">BalanceSheet!H35</f>
        <v>0.3636564728426</v>
      </c>
      <c r="I32" s="24" t="n">
        <f aca="false">BalanceSheet!I35</f>
        <v>0.356669606979219</v>
      </c>
      <c r="J32" s="24" t="n">
        <f aca="false">BalanceSheet!J35</f>
        <v>0.332436415887426</v>
      </c>
      <c r="K32" s="24" t="n">
        <f aca="false">BalanceSheet!K35</f>
        <v>0.293435731029587</v>
      </c>
      <c r="L32" s="24" t="n">
        <f aca="false">BalanceSheet!L35</f>
        <v>0.258623959190371</v>
      </c>
    </row>
    <row r="33" customFormat="false" ht="15" hidden="false" customHeight="true" outlineLevel="0" collapsed="false">
      <c r="B33" s="22" t="s">
        <v>88</v>
      </c>
      <c r="C33" s="25" t="n">
        <f aca="false">CashFlow!C11</f>
        <v>29.0328143712575</v>
      </c>
      <c r="D33" s="25" t="n">
        <f aca="false">CashFlow!D11</f>
        <v>110.87351912354</v>
      </c>
      <c r="E33" s="25" t="n">
        <f aca="false">CashFlow!E11</f>
        <v>264.285594834371</v>
      </c>
      <c r="F33" s="25" t="n">
        <f aca="false">CashFlow!F11</f>
        <v>461.436043203126</v>
      </c>
      <c r="G33" s="25" t="n">
        <f aca="false">CashFlow!G11</f>
        <v>779.146372175465</v>
      </c>
      <c r="H33" s="25" t="n">
        <f aca="false">CashFlow!H11</f>
        <v>1170.2919253247</v>
      </c>
      <c r="I33" s="25" t="n">
        <f aca="false">CashFlow!I11</f>
        <v>1545.26294468328</v>
      </c>
      <c r="J33" s="25" t="n">
        <f aca="false">CashFlow!J11</f>
        <v>1958.55107383368</v>
      </c>
      <c r="K33" s="25" t="n">
        <f aca="false">CashFlow!K11</f>
        <v>2342.18489878947</v>
      </c>
      <c r="L33" s="25" t="n">
        <f aca="false">CashFlow!L11</f>
        <v>2699.90776430331</v>
      </c>
    </row>
    <row r="35" customFormat="false" ht="21.75" hidden="false" customHeight="true" outlineLevel="0" collapsed="false">
      <c r="B35" s="6" t="s">
        <v>89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</row>
    <row r="36" customFormat="false" ht="15" hidden="false" customHeight="true" outlineLevel="0" collapsed="false">
      <c r="B36" s="22" t="s">
        <v>90</v>
      </c>
      <c r="C36" s="28" t="n">
        <f aca="false">SUM('P&amp;L'!C5:L5)</f>
        <v>21209.2335538353</v>
      </c>
    </row>
    <row r="37" customFormat="false" ht="15" hidden="false" customHeight="true" outlineLevel="0" collapsed="false">
      <c r="B37" s="22" t="s">
        <v>91</v>
      </c>
      <c r="C37" s="28" t="n">
        <f aca="false">SUM('P&amp;L'!C16:L16)</f>
        <v>8100.05246494869</v>
      </c>
    </row>
    <row r="38" customFormat="false" ht="15" hidden="false" customHeight="true" outlineLevel="0" collapsed="false">
      <c r="B38" s="22" t="s">
        <v>92</v>
      </c>
      <c r="C38" s="28" t="n">
        <f aca="false">SUM('P&amp;L'!C24:L24)</f>
        <v>5548.24392014009</v>
      </c>
    </row>
    <row r="39" customFormat="false" ht="15" hidden="false" customHeight="true" outlineLevel="0" collapsed="false">
      <c r="B39" s="22" t="s">
        <v>93</v>
      </c>
      <c r="C39" s="28" t="n">
        <f aca="false">SUM('R&amp;D_NRE'!D12:M12)</f>
        <v>1365.94209152395</v>
      </c>
    </row>
    <row r="40" customFormat="false" ht="15" hidden="false" customHeight="true" outlineLevel="0" collapsed="false">
      <c r="B40" s="22" t="s">
        <v>94</v>
      </c>
      <c r="C40" s="28" t="n">
        <f aca="false">SUM('R&amp;D_NRE'!D8:M8)-SUM('R&amp;D_NRE'!D6:M6)</f>
        <v>994.323732</v>
      </c>
    </row>
    <row r="41" customFormat="false" ht="15" hidden="false" customHeight="true" outlineLevel="0" collapsed="false">
      <c r="B41" s="22" t="s">
        <v>95</v>
      </c>
      <c r="C41" s="28" t="n">
        <f aca="false">SUM(Funding!D9:M9)</f>
        <v>1100</v>
      </c>
    </row>
    <row r="42" customFormat="false" ht="15" hidden="false" customHeight="true" outlineLevel="0" collapsed="false">
      <c r="B42" s="22" t="s">
        <v>96</v>
      </c>
      <c r="C42" s="28" t="n">
        <f aca="false">SUM(Capex!D21:M21)</f>
        <v>600.125</v>
      </c>
    </row>
    <row r="43" customFormat="false" ht="15" hidden="false" customHeight="true" outlineLevel="0" collapsed="false">
      <c r="B43" s="22" t="s">
        <v>97</v>
      </c>
      <c r="C43" s="28" t="n">
        <f aca="false">NPV(Assumptions!$C$7,CashFlow!C27:L27)</f>
        <v>747.152631257461</v>
      </c>
    </row>
    <row r="44" customFormat="false" ht="15" hidden="false" customHeight="true" outlineLevel="0" collapsed="false">
      <c r="B44" s="22" t="s">
        <v>98</v>
      </c>
      <c r="C44" s="29" t="n">
        <f aca="false">IFERROR(IRR(CashFlow!C27:L27),0)</f>
        <v>0.318968593472284</v>
      </c>
    </row>
    <row r="45" customFormat="false" ht="15" hidden="false" customHeight="true" outlineLevel="0" collapsed="false">
      <c r="B45" s="22" t="s">
        <v>99</v>
      </c>
      <c r="C45" s="28" t="n">
        <f aca="false">MIN(CashFlow!C28:L28)</f>
        <v>-1061.78224274266</v>
      </c>
    </row>
    <row r="46" customFormat="false" ht="15" hidden="false" customHeight="true" outlineLevel="0" collapsed="false">
      <c r="B46" s="22" t="s">
        <v>100</v>
      </c>
      <c r="C46" s="30" t="n">
        <f aca="false">IFERROR(MATCH(TRUE(),INDEX('P&amp;L'!C16:L16&gt;0,0),0),"n/a")</f>
        <v>4</v>
      </c>
    </row>
    <row r="47" customFormat="false" ht="15" hidden="false" customHeight="true" outlineLevel="0" collapsed="false">
      <c r="B47" s="22" t="s">
        <v>101</v>
      </c>
      <c r="C47" s="30" t="n">
        <f aca="false">IFERROR(MATCH(TRUE(),INDEX(CashFlow!C27:L27&gt;0,0),0),"n/a")</f>
        <v>4</v>
      </c>
    </row>
    <row r="49" customFormat="false" ht="15" hidden="false" customHeight="true" outlineLevel="0" collapsed="false">
      <c r="B49" s="31" t="s">
        <v>102</v>
      </c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</row>
    <row r="50" customFormat="false" ht="15" hidden="false" customHeight="true" outlineLevel="0" collapsed="false">
      <c r="B50" s="32" t="s">
        <v>103</v>
      </c>
      <c r="C50" s="33" t="n">
        <f aca="false">'R&amp;D_Buckets'!D89</f>
        <v>0.25990099009901</v>
      </c>
      <c r="D50" s="33" t="n">
        <f aca="false">'R&amp;D_Buckets'!E89</f>
        <v>0.424047619047619</v>
      </c>
      <c r="E50" s="33" t="n">
        <f aca="false">'R&amp;D_Buckets'!F89</f>
        <v>0.553364485981308</v>
      </c>
      <c r="F50" s="33" t="n">
        <f aca="false">'R&amp;D_Buckets'!G89</f>
        <v>0.628115942028986</v>
      </c>
      <c r="G50" s="33" t="n">
        <f aca="false">'R&amp;D_Buckets'!H89</f>
        <v>0.683947368421053</v>
      </c>
      <c r="H50" s="33" t="n">
        <f aca="false">'R&amp;D_Buckets'!I89</f>
        <v>0.713658536585366</v>
      </c>
      <c r="I50" s="33" t="n">
        <f aca="false">'R&amp;D_Buckets'!J89</f>
        <v>0.740265486725664</v>
      </c>
      <c r="J50" s="33" t="n">
        <f aca="false">'R&amp;D_Buckets'!K89</f>
        <v>0.751309523809524</v>
      </c>
      <c r="K50" s="33" t="n">
        <f aca="false">'R&amp;D_Buckets'!L89</f>
        <v>0.751594202898551</v>
      </c>
      <c r="L50" s="33" t="n">
        <f aca="false">'R&amp;D_Buckets'!M89</f>
        <v>0.73258064516129</v>
      </c>
    </row>
    <row r="51" customFormat="false" ht="15" hidden="false" customHeight="true" outlineLevel="0" collapsed="false">
      <c r="B51" s="34" t="s">
        <v>104</v>
      </c>
      <c r="C51" s="35" t="n">
        <f aca="false">'R&amp;D_Buckets'!D60</f>
        <v>48.2</v>
      </c>
      <c r="D51" s="35" t="n">
        <f aca="false">'R&amp;D_Buckets'!E60</f>
        <v>74.75</v>
      </c>
      <c r="E51" s="35" t="n">
        <f aca="false">'R&amp;D_Buckets'!F60</f>
        <v>24.69</v>
      </c>
      <c r="F51" s="35" t="n">
        <f aca="false">'R&amp;D_Buckets'!G60</f>
        <v>11.26</v>
      </c>
      <c r="G51" s="35" t="n">
        <f aca="false">'R&amp;D_Buckets'!H60</f>
        <v>4.42</v>
      </c>
      <c r="H51" s="35" t="n">
        <f aca="false">'R&amp;D_Buckets'!I60</f>
        <v>1.74</v>
      </c>
      <c r="I51" s="35" t="n">
        <f aca="false">'R&amp;D_Buckets'!J60</f>
        <v>0.74</v>
      </c>
      <c r="J51" s="35" t="n">
        <f aca="false">'R&amp;D_Buckets'!K60</f>
        <v>0.474</v>
      </c>
      <c r="K51" s="35" t="n">
        <f aca="false">'R&amp;D_Buckets'!L60</f>
        <v>0.399</v>
      </c>
      <c r="L51" s="35" t="n">
        <f aca="false">'R&amp;D_Buckets'!M60</f>
        <v>0.209</v>
      </c>
    </row>
    <row r="52" customFormat="false" ht="15" hidden="false" customHeight="true" outlineLevel="0" collapsed="false">
      <c r="B52" s="32" t="s">
        <v>105</v>
      </c>
      <c r="C52" s="36" t="n">
        <f aca="false">'R&amp;D_Buckets'!D88</f>
        <v>26.25</v>
      </c>
      <c r="D52" s="36" t="n">
        <f aca="false">'R&amp;D_Buckets'!E88</f>
        <v>89.05</v>
      </c>
      <c r="E52" s="36" t="n">
        <f aca="false">'R&amp;D_Buckets'!F88</f>
        <v>59.21</v>
      </c>
      <c r="F52" s="36" t="n">
        <f aca="false">'R&amp;D_Buckets'!G88</f>
        <v>43.34</v>
      </c>
      <c r="G52" s="36" t="n">
        <f aca="false">'R&amp;D_Buckets'!H88</f>
        <v>25.99</v>
      </c>
      <c r="H52" s="36" t="n">
        <f aca="false">'R&amp;D_Buckets'!I88</f>
        <v>14.63</v>
      </c>
      <c r="I52" s="36" t="n">
        <f aca="false">'R&amp;D_Buckets'!J88</f>
        <v>8.365</v>
      </c>
      <c r="J52" s="36" t="n">
        <f aca="false">'R&amp;D_Buckets'!K88</f>
        <v>6.311</v>
      </c>
      <c r="K52" s="36" t="n">
        <f aca="false">'R&amp;D_Buckets'!L88</f>
        <v>5.186</v>
      </c>
      <c r="L52" s="36" t="n">
        <f aca="false">'R&amp;D_Buckets'!M88</f>
        <v>2.271</v>
      </c>
    </row>
    <row r="53" customFormat="false" ht="15" hidden="false" customHeight="true" outlineLevel="0" collapsed="false">
      <c r="B53" s="34" t="s">
        <v>106</v>
      </c>
      <c r="C53" s="35" t="n">
        <f aca="false">'R&amp;D_Buckets'!D82</f>
        <v>26.55</v>
      </c>
      <c r="D53" s="35" t="n">
        <f aca="false">'R&amp;D_Buckets'!E82</f>
        <v>46.2</v>
      </c>
      <c r="E53" s="35" t="n">
        <f aca="false">'R&amp;D_Buckets'!F82</f>
        <v>23.1</v>
      </c>
      <c r="F53" s="35" t="n">
        <f aca="false">'R&amp;D_Buckets'!G82</f>
        <v>14.4</v>
      </c>
      <c r="G53" s="35" t="n">
        <f aca="false">'R&amp;D_Buckets'!H82</f>
        <v>7.59</v>
      </c>
      <c r="H53" s="35" t="n">
        <f aca="false">'R&amp;D_Buckets'!I82</f>
        <v>4.13</v>
      </c>
      <c r="I53" s="35" t="n">
        <f aca="false">'R&amp;D_Buckets'!J82</f>
        <v>2.195</v>
      </c>
      <c r="J53" s="35" t="n">
        <f aca="false">'R&amp;D_Buckets'!K82</f>
        <v>1.615</v>
      </c>
      <c r="K53" s="35" t="n">
        <f aca="false">'R&amp;D_Buckets'!L82</f>
        <v>1.315</v>
      </c>
      <c r="L53" s="35" t="n">
        <f aca="false">'R&amp;D_Buckets'!M82</f>
        <v>0.62</v>
      </c>
    </row>
    <row r="54" customFormat="false" ht="15" hidden="false" customHeight="true" outlineLevel="0" collapsed="false">
      <c r="B54" s="32" t="s">
        <v>107</v>
      </c>
      <c r="C54" s="36" t="n">
        <f aca="false">BalanceSheet!C39</f>
        <v>21.875</v>
      </c>
      <c r="D54" s="36" t="n">
        <f aca="false">BalanceSheet!D39</f>
        <v>91.7083333333333</v>
      </c>
      <c r="E54" s="36" t="n">
        <f aca="false">BalanceSheet!E39</f>
        <v>121.833333333333</v>
      </c>
      <c r="F54" s="36" t="n">
        <f aca="false">BalanceSheet!F39</f>
        <v>128.865</v>
      </c>
      <c r="G54" s="36" t="n">
        <f aca="false">BalanceSheet!G39</f>
        <v>114.215</v>
      </c>
      <c r="H54" s="36" t="n">
        <f aca="false">BalanceSheet!H39</f>
        <v>85.7666666666667</v>
      </c>
      <c r="I54" s="36" t="n">
        <f aca="false">BalanceSheet!I39</f>
        <v>54.0341666666666</v>
      </c>
      <c r="J54" s="36" t="n">
        <f aca="false">BalanceSheet!J39</f>
        <v>34.0375</v>
      </c>
      <c r="K54" s="36" t="n">
        <f aca="false">BalanceSheet!K39</f>
        <v>21.9198333333333</v>
      </c>
      <c r="L54" s="36" t="n">
        <f aca="false">BalanceSheet!L39</f>
        <v>13.732</v>
      </c>
    </row>
    <row r="56" customFormat="false" ht="15" hidden="false" customHeight="true" outlineLevel="0" collapsed="false">
      <c r="B56" s="37" t="s">
        <v>108</v>
      </c>
    </row>
    <row r="57" customFormat="false" ht="15" hidden="false" customHeight="true" outlineLevel="0" collapsed="false">
      <c r="B57" s="1" t="s">
        <v>109</v>
      </c>
      <c r="C57" s="38" t="n">
        <f aca="false">L15</f>
        <v>2347.09012381516</v>
      </c>
    </row>
    <row r="58" customFormat="false" ht="15" hidden="false" customHeight="true" outlineLevel="0" collapsed="false">
      <c r="B58" s="1" t="s">
        <v>110</v>
      </c>
      <c r="C58" s="38" t="n">
        <f aca="false">L18</f>
        <v>1660.8947729464</v>
      </c>
    </row>
    <row r="59" customFormat="false" ht="15" hidden="false" customHeight="true" outlineLevel="0" collapsed="false">
      <c r="B59" s="1" t="s">
        <v>111</v>
      </c>
      <c r="C59" s="1" t="n">
        <f aca="false">12*C57</f>
        <v>28165.0814857819</v>
      </c>
    </row>
    <row r="60" customFormat="false" ht="15" hidden="false" customHeight="true" outlineLevel="0" collapsed="false">
      <c r="B60" s="1" t="s">
        <v>112</v>
      </c>
      <c r="C60" s="1" t="n">
        <f aca="false">C58*1.03/(Assumptions!C7-0.03)</f>
        <v>11404.8107742319</v>
      </c>
    </row>
    <row r="61" customFormat="false" ht="15" hidden="false" customHeight="true" outlineLevel="0" collapsed="false">
      <c r="B61" s="1" t="s">
        <v>113</v>
      </c>
      <c r="C61" s="1" t="n">
        <f aca="false">C59/(1+Assumptions!C7)^10</f>
        <v>5381.34627965919</v>
      </c>
    </row>
    <row r="62" customFormat="false" ht="15" hidden="false" customHeight="true" outlineLevel="0" collapsed="false">
      <c r="B62" s="1" t="s">
        <v>114</v>
      </c>
      <c r="C62" s="1" t="n">
        <f aca="false">C60/(1+Assumptions!C7)^10</f>
        <v>2179.05409082917</v>
      </c>
    </row>
    <row r="63" customFormat="false" ht="15" hidden="false" customHeight="true" outlineLevel="0" collapsed="false">
      <c r="B63" s="1" t="s">
        <v>115</v>
      </c>
      <c r="C63" s="1" t="n">
        <f aca="false">C43+C61</f>
        <v>6128.49891091665</v>
      </c>
    </row>
    <row r="64" customFormat="false" ht="15" hidden="false" customHeight="true" outlineLevel="0" collapsed="false">
      <c r="B64" s="1" t="s">
        <v>116</v>
      </c>
      <c r="C64" s="1" t="n">
        <f aca="false">C43+C62</f>
        <v>2926.20672208663</v>
      </c>
    </row>
    <row r="65" customFormat="false" ht="15" hidden="false" customHeight="true" outlineLevel="0" collapsed="false">
      <c r="B65" s="1" t="s">
        <v>117</v>
      </c>
      <c r="C65" s="1" t="s">
        <v>118</v>
      </c>
    </row>
  </sheetData>
  <mergeCells count="14">
    <mergeCell ref="B2:L2"/>
    <mergeCell ref="B3:C3"/>
    <mergeCell ref="D3:E3"/>
    <mergeCell ref="F3:G3"/>
    <mergeCell ref="H3:I3"/>
    <mergeCell ref="J3:K3"/>
    <mergeCell ref="B4:C4"/>
    <mergeCell ref="D4:E4"/>
    <mergeCell ref="F4:G4"/>
    <mergeCell ref="H4:I4"/>
    <mergeCell ref="J4:K4"/>
    <mergeCell ref="B6:M6"/>
    <mergeCell ref="B35:M35"/>
    <mergeCell ref="B49:M4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8.6796875" defaultRowHeight="48.75" customHeight="tru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0"/>
    <col collapsed="false" customWidth="true" hidden="false" outlineLevel="0" max="3" min="3" style="1" width="164.85"/>
  </cols>
  <sheetData>
    <row r="2" customFormat="false" ht="48.75" hidden="false" customHeight="true" outlineLevel="0" collapsed="false">
      <c r="B2" s="19" t="s">
        <v>119</v>
      </c>
      <c r="C2" s="19"/>
    </row>
    <row r="4" customFormat="false" ht="48.75" hidden="false" customHeight="true" outlineLevel="0" collapsed="false">
      <c r="B4" s="4" t="s">
        <v>120</v>
      </c>
      <c r="C4" s="9" t="s">
        <v>121</v>
      </c>
    </row>
    <row r="5" customFormat="false" ht="48.75" hidden="false" customHeight="true" outlineLevel="0" collapsed="false">
      <c r="B5" s="4" t="s">
        <v>122</v>
      </c>
      <c r="C5" s="9" t="s">
        <v>123</v>
      </c>
    </row>
    <row r="6" customFormat="false" ht="48.75" hidden="false" customHeight="true" outlineLevel="0" collapsed="false">
      <c r="B6" s="4" t="s">
        <v>124</v>
      </c>
      <c r="C6" s="9" t="s">
        <v>125</v>
      </c>
    </row>
    <row r="7" customFormat="false" ht="48.75" hidden="false" customHeight="true" outlineLevel="0" collapsed="false">
      <c r="B7" s="4" t="s">
        <v>126</v>
      </c>
      <c r="C7" s="9" t="s">
        <v>127</v>
      </c>
    </row>
    <row r="8" customFormat="false" ht="48.75" hidden="false" customHeight="true" outlineLevel="0" collapsed="false">
      <c r="B8" s="4" t="s">
        <v>8</v>
      </c>
      <c r="C8" s="9" t="s">
        <v>128</v>
      </c>
    </row>
    <row r="9" customFormat="false" ht="48.75" hidden="false" customHeight="true" outlineLevel="0" collapsed="false">
      <c r="B9" s="4" t="s">
        <v>129</v>
      </c>
      <c r="C9" s="9" t="s">
        <v>130</v>
      </c>
    </row>
    <row r="10" customFormat="false" ht="48.75" hidden="false" customHeight="true" outlineLevel="0" collapsed="false">
      <c r="B10" s="4" t="s">
        <v>131</v>
      </c>
      <c r="C10" s="9" t="s">
        <v>132</v>
      </c>
    </row>
    <row r="11" customFormat="false" ht="48.75" hidden="false" customHeight="true" outlineLevel="0" collapsed="false">
      <c r="B11" s="4" t="s">
        <v>133</v>
      </c>
      <c r="C11" s="9" t="s">
        <v>134</v>
      </c>
    </row>
    <row r="12" customFormat="false" ht="48.75" hidden="false" customHeight="true" outlineLevel="0" collapsed="false">
      <c r="B12" s="4" t="s">
        <v>135</v>
      </c>
      <c r="C12" s="9" t="s">
        <v>136</v>
      </c>
    </row>
    <row r="13" customFormat="false" ht="48.75" hidden="false" customHeight="true" outlineLevel="0" collapsed="false">
      <c r="B13" s="4" t="s">
        <v>137</v>
      </c>
      <c r="C13" s="9" t="s">
        <v>138</v>
      </c>
    </row>
    <row r="14" customFormat="false" ht="48.75" hidden="false" customHeight="true" outlineLevel="0" collapsed="false">
      <c r="B14" s="4" t="s">
        <v>139</v>
      </c>
      <c r="C14" s="9" t="s">
        <v>140</v>
      </c>
    </row>
  </sheetData>
  <mergeCells count="1">
    <mergeCell ref="B2:C2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O23" activeCellId="0" sqref="O2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28"/>
    <col collapsed="false" customWidth="true" hidden="false" outlineLevel="0" max="9" min="3" style="1" width="22"/>
  </cols>
  <sheetData>
    <row r="2" customFormat="false" ht="24" hidden="false" customHeight="true" outlineLevel="0" collapsed="false">
      <c r="B2" s="19" t="s">
        <v>141</v>
      </c>
      <c r="C2" s="19"/>
      <c r="D2" s="19"/>
      <c r="E2" s="19"/>
      <c r="F2" s="19"/>
      <c r="G2" s="19"/>
      <c r="H2" s="19"/>
      <c r="I2" s="19"/>
    </row>
    <row r="4" customFormat="false" ht="36" hidden="false" customHeight="true" outlineLevel="0" collapsed="false">
      <c r="B4" s="20" t="s">
        <v>142</v>
      </c>
      <c r="C4" s="39" t="s">
        <v>143</v>
      </c>
      <c r="D4" s="40" t="s">
        <v>144</v>
      </c>
      <c r="E4" s="40" t="s">
        <v>145</v>
      </c>
      <c r="F4" s="40" t="s">
        <v>146</v>
      </c>
      <c r="G4" s="40" t="s">
        <v>147</v>
      </c>
      <c r="H4" s="40" t="s">
        <v>148</v>
      </c>
      <c r="I4" s="40" t="s">
        <v>149</v>
      </c>
    </row>
    <row r="5" customFormat="false" ht="23.25" hidden="false" customHeight="true" outlineLevel="0" collapsed="false">
      <c r="B5" s="9" t="s">
        <v>150</v>
      </c>
      <c r="C5" s="41" t="n">
        <v>4</v>
      </c>
      <c r="D5" s="42" t="n">
        <v>4</v>
      </c>
      <c r="E5" s="42" t="n">
        <v>1</v>
      </c>
      <c r="F5" s="42" t="n">
        <v>1</v>
      </c>
      <c r="G5" s="42" t="n">
        <v>2</v>
      </c>
      <c r="H5" s="42" t="n">
        <v>2</v>
      </c>
      <c r="I5" s="42" t="n">
        <v>2</v>
      </c>
    </row>
    <row r="6" customFormat="false" ht="15" hidden="false" customHeight="true" outlineLevel="0" collapsed="false">
      <c r="B6" s="9" t="s">
        <v>151</v>
      </c>
      <c r="C6" s="41" t="n">
        <v>4</v>
      </c>
      <c r="D6" s="42" t="n">
        <v>4</v>
      </c>
      <c r="E6" s="42" t="n">
        <v>4</v>
      </c>
      <c r="F6" s="42" t="n">
        <v>2</v>
      </c>
      <c r="G6" s="42" t="n">
        <v>1</v>
      </c>
      <c r="H6" s="42" t="n">
        <v>1</v>
      </c>
      <c r="I6" s="42" t="n">
        <v>0</v>
      </c>
    </row>
    <row r="7" customFormat="false" ht="15" hidden="false" customHeight="true" outlineLevel="0" collapsed="false">
      <c r="B7" s="9" t="s">
        <v>152</v>
      </c>
      <c r="C7" s="41" t="n">
        <v>4</v>
      </c>
      <c r="D7" s="42" t="n">
        <v>4</v>
      </c>
      <c r="E7" s="42" t="n">
        <v>3</v>
      </c>
      <c r="F7" s="42" t="n">
        <v>2</v>
      </c>
      <c r="G7" s="42" t="n">
        <v>1</v>
      </c>
      <c r="H7" s="42" t="n">
        <v>1</v>
      </c>
      <c r="I7" s="42" t="n">
        <v>0</v>
      </c>
    </row>
    <row r="8" customFormat="false" ht="15" hidden="false" customHeight="true" outlineLevel="0" collapsed="false">
      <c r="B8" s="9" t="s">
        <v>153</v>
      </c>
      <c r="C8" s="41" t="n">
        <v>3</v>
      </c>
      <c r="D8" s="42" t="n">
        <v>3</v>
      </c>
      <c r="E8" s="42" t="n">
        <v>1</v>
      </c>
      <c r="F8" s="42" t="n">
        <v>4</v>
      </c>
      <c r="G8" s="42" t="n">
        <v>1</v>
      </c>
      <c r="H8" s="42" t="n">
        <v>0</v>
      </c>
      <c r="I8" s="42" t="n">
        <v>1</v>
      </c>
    </row>
    <row r="9" customFormat="false" ht="15" hidden="false" customHeight="true" outlineLevel="0" collapsed="false">
      <c r="B9" s="9" t="s">
        <v>154</v>
      </c>
      <c r="C9" s="41" t="n">
        <v>3</v>
      </c>
      <c r="D9" s="42" t="n">
        <v>4</v>
      </c>
      <c r="E9" s="42" t="n">
        <v>0</v>
      </c>
      <c r="F9" s="42" t="n">
        <v>0</v>
      </c>
      <c r="G9" s="42" t="n">
        <v>4</v>
      </c>
      <c r="H9" s="42" t="n">
        <v>0</v>
      </c>
      <c r="I9" s="42" t="n">
        <v>0</v>
      </c>
    </row>
    <row r="10" customFormat="false" ht="15" hidden="false" customHeight="true" outlineLevel="0" collapsed="false">
      <c r="B10" s="9" t="s">
        <v>155</v>
      </c>
      <c r="C10" s="41" t="n">
        <v>3</v>
      </c>
      <c r="D10" s="42" t="n">
        <v>2</v>
      </c>
      <c r="E10" s="42" t="n">
        <v>0</v>
      </c>
      <c r="F10" s="42" t="n">
        <v>0</v>
      </c>
      <c r="G10" s="42" t="n">
        <v>1</v>
      </c>
      <c r="H10" s="42" t="n">
        <v>4</v>
      </c>
      <c r="I10" s="42" t="n">
        <v>0</v>
      </c>
    </row>
    <row r="11" customFormat="false" ht="15" hidden="false" customHeight="true" outlineLevel="0" collapsed="false">
      <c r="B11" s="9" t="s">
        <v>156</v>
      </c>
      <c r="C11" s="41" t="n">
        <v>4</v>
      </c>
      <c r="D11" s="42" t="n">
        <v>3</v>
      </c>
      <c r="E11" s="42" t="n">
        <v>1</v>
      </c>
      <c r="F11" s="42" t="n">
        <v>2</v>
      </c>
      <c r="G11" s="42" t="n">
        <v>2</v>
      </c>
      <c r="H11" s="42" t="n">
        <v>2</v>
      </c>
      <c r="I11" s="42" t="n">
        <v>4</v>
      </c>
    </row>
    <row r="12" customFormat="false" ht="15" hidden="false" customHeight="true" outlineLevel="0" collapsed="false">
      <c r="B12" s="9" t="s">
        <v>157</v>
      </c>
      <c r="C12" s="41" t="n">
        <v>4</v>
      </c>
      <c r="D12" s="42" t="n">
        <v>2</v>
      </c>
      <c r="E12" s="42" t="n">
        <v>1</v>
      </c>
      <c r="F12" s="42" t="n">
        <v>1</v>
      </c>
      <c r="G12" s="42" t="n">
        <v>1</v>
      </c>
      <c r="H12" s="42" t="n">
        <v>1</v>
      </c>
      <c r="I12" s="42" t="n">
        <v>2</v>
      </c>
    </row>
    <row r="13" customFormat="false" ht="15" hidden="false" customHeight="true" outlineLevel="0" collapsed="false">
      <c r="B13" s="9" t="s">
        <v>158</v>
      </c>
      <c r="C13" s="41" t="n">
        <v>4</v>
      </c>
      <c r="D13" s="42" t="n">
        <v>1</v>
      </c>
      <c r="E13" s="42" t="n">
        <v>2</v>
      </c>
      <c r="F13" s="42" t="n">
        <v>2</v>
      </c>
      <c r="G13" s="42" t="n">
        <v>1</v>
      </c>
      <c r="H13" s="42" t="n">
        <v>2</v>
      </c>
      <c r="I13" s="42" t="n">
        <v>3</v>
      </c>
    </row>
    <row r="14" customFormat="false" ht="15" hidden="false" customHeight="true" outlineLevel="0" collapsed="false">
      <c r="B14" s="9" t="s">
        <v>159</v>
      </c>
      <c r="C14" s="41" t="n">
        <v>4</v>
      </c>
      <c r="D14" s="42" t="n">
        <v>1</v>
      </c>
      <c r="E14" s="42" t="n">
        <v>3</v>
      </c>
      <c r="F14" s="42" t="n">
        <v>3</v>
      </c>
      <c r="G14" s="42" t="n">
        <v>2</v>
      </c>
      <c r="H14" s="42" t="n">
        <v>3</v>
      </c>
      <c r="I14" s="42" t="n">
        <v>4</v>
      </c>
    </row>
    <row r="15" customFormat="false" ht="23.25" hidden="false" customHeight="true" outlineLevel="0" collapsed="false">
      <c r="B15" s="9" t="s">
        <v>160</v>
      </c>
      <c r="C15" s="41" t="n">
        <v>3</v>
      </c>
      <c r="D15" s="42" t="n">
        <v>4</v>
      </c>
      <c r="E15" s="42" t="n">
        <v>3</v>
      </c>
      <c r="F15" s="42" t="n">
        <v>2</v>
      </c>
      <c r="G15" s="42" t="n">
        <v>3</v>
      </c>
      <c r="H15" s="42" t="n">
        <v>2</v>
      </c>
      <c r="I15" s="42" t="n">
        <v>1</v>
      </c>
    </row>
    <row r="16" customFormat="false" ht="15" hidden="false" customHeight="true" outlineLevel="0" collapsed="false">
      <c r="B16" s="9" t="s">
        <v>161</v>
      </c>
      <c r="C16" s="41" t="n">
        <v>3</v>
      </c>
      <c r="D16" s="42" t="n">
        <v>4</v>
      </c>
      <c r="E16" s="42" t="n">
        <v>3</v>
      </c>
      <c r="F16" s="42" t="n">
        <v>2</v>
      </c>
      <c r="G16" s="42" t="n">
        <v>3</v>
      </c>
      <c r="H16" s="42" t="n">
        <v>2</v>
      </c>
      <c r="I16" s="42" t="n">
        <v>1</v>
      </c>
    </row>
    <row r="17" customFormat="false" ht="15" hidden="false" customHeight="true" outlineLevel="0" collapsed="false">
      <c r="B17" s="9" t="s">
        <v>162</v>
      </c>
      <c r="C17" s="41" t="n">
        <v>4</v>
      </c>
      <c r="D17" s="42" t="n">
        <v>2</v>
      </c>
      <c r="E17" s="42" t="n">
        <v>1</v>
      </c>
      <c r="F17" s="42" t="n">
        <v>2</v>
      </c>
      <c r="G17" s="42" t="n">
        <v>2</v>
      </c>
      <c r="H17" s="42" t="n">
        <v>2</v>
      </c>
      <c r="I17" s="42" t="n">
        <v>4</v>
      </c>
    </row>
    <row r="18" customFormat="false" ht="15" hidden="false" customHeight="true" outlineLevel="0" collapsed="false">
      <c r="B18" s="9" t="s">
        <v>163</v>
      </c>
      <c r="C18" s="41" t="n">
        <v>4</v>
      </c>
      <c r="D18" s="42" t="n">
        <v>2</v>
      </c>
      <c r="E18" s="42" t="n">
        <v>3</v>
      </c>
      <c r="F18" s="42" t="n">
        <v>3</v>
      </c>
      <c r="G18" s="42" t="n">
        <v>2</v>
      </c>
      <c r="H18" s="42" t="n">
        <v>3</v>
      </c>
      <c r="I18" s="42" t="n">
        <v>3</v>
      </c>
    </row>
    <row r="19" customFormat="false" ht="15" hidden="false" customHeight="true" outlineLevel="0" collapsed="false">
      <c r="B19" s="9" t="s">
        <v>164</v>
      </c>
      <c r="C19" s="41" t="n">
        <v>4</v>
      </c>
      <c r="D19" s="42" t="n">
        <v>2</v>
      </c>
      <c r="E19" s="42" t="n">
        <v>3</v>
      </c>
      <c r="F19" s="42" t="n">
        <v>3</v>
      </c>
      <c r="G19" s="42" t="n">
        <v>1</v>
      </c>
      <c r="H19" s="42" t="n">
        <v>2</v>
      </c>
      <c r="I19" s="42" t="n">
        <v>3</v>
      </c>
    </row>
    <row r="20" s="43" customFormat="true" ht="15" hidden="false" customHeight="true" outlineLevel="0" collapsed="false">
      <c r="B20" s="44" t="s">
        <v>165</v>
      </c>
      <c r="C20" s="45" t="n">
        <f aca="false">SUM(C5:C19)</f>
        <v>55</v>
      </c>
      <c r="D20" s="45" t="n">
        <f aca="false">SUM(D5:D19)</f>
        <v>42</v>
      </c>
      <c r="E20" s="45" t="n">
        <f aca="false">SUM(E5:E19)</f>
        <v>29</v>
      </c>
      <c r="F20" s="45" t="n">
        <f aca="false">SUM(F5:F19)</f>
        <v>29</v>
      </c>
      <c r="G20" s="45" t="n">
        <f aca="false">SUM(G5:G19)</f>
        <v>27</v>
      </c>
      <c r="H20" s="45" t="n">
        <f aca="false">SUM(H5:H19)</f>
        <v>27</v>
      </c>
      <c r="I20" s="45" t="n">
        <f aca="false">SUM(I5:I19)</f>
        <v>28</v>
      </c>
    </row>
    <row r="22" customFormat="false" ht="21.75" hidden="false" customHeight="true" outlineLevel="0" collapsed="false">
      <c r="B22" s="6" t="s">
        <v>166</v>
      </c>
      <c r="C22" s="6"/>
      <c r="D22" s="6"/>
      <c r="E22" s="6"/>
      <c r="F22" s="6"/>
      <c r="G22" s="6"/>
      <c r="H22" s="6"/>
      <c r="I22" s="6"/>
    </row>
    <row r="23" customFormat="false" ht="42" hidden="false" customHeight="true" outlineLevel="0" collapsed="false">
      <c r="B23" s="4" t="s">
        <v>167</v>
      </c>
      <c r="C23" s="5" t="s">
        <v>168</v>
      </c>
      <c r="D23" s="5"/>
      <c r="E23" s="5"/>
      <c r="F23" s="5"/>
      <c r="G23" s="5"/>
      <c r="H23" s="5"/>
      <c r="I23" s="5"/>
    </row>
    <row r="24" customFormat="false" ht="42" hidden="false" customHeight="true" outlineLevel="0" collapsed="false">
      <c r="B24" s="4" t="s">
        <v>169</v>
      </c>
      <c r="C24" s="5" t="s">
        <v>170</v>
      </c>
      <c r="D24" s="5"/>
      <c r="E24" s="5"/>
      <c r="F24" s="5"/>
      <c r="G24" s="5"/>
      <c r="H24" s="5"/>
      <c r="I24" s="5"/>
    </row>
    <row r="25" customFormat="false" ht="42" hidden="false" customHeight="true" outlineLevel="0" collapsed="false">
      <c r="B25" s="4" t="s">
        <v>171</v>
      </c>
      <c r="C25" s="5" t="s">
        <v>172</v>
      </c>
      <c r="D25" s="5"/>
      <c r="E25" s="5"/>
      <c r="F25" s="5"/>
      <c r="G25" s="5"/>
      <c r="H25" s="5"/>
      <c r="I25" s="5"/>
    </row>
    <row r="26" customFormat="false" ht="42" hidden="false" customHeight="true" outlineLevel="0" collapsed="false">
      <c r="B26" s="4" t="s">
        <v>173</v>
      </c>
      <c r="C26" s="5" t="s">
        <v>174</v>
      </c>
      <c r="D26" s="5"/>
      <c r="E26" s="5"/>
      <c r="F26" s="5"/>
      <c r="G26" s="5"/>
      <c r="H26" s="5"/>
      <c r="I26" s="5"/>
    </row>
  </sheetData>
  <mergeCells count="6">
    <mergeCell ref="B2:I2"/>
    <mergeCell ref="B22:I22"/>
    <mergeCell ref="C23:I23"/>
    <mergeCell ref="C24:I24"/>
    <mergeCell ref="C25:I25"/>
    <mergeCell ref="C26:I26"/>
  </mergeCells>
  <conditionalFormatting sqref="C5:I19">
    <cfRule type="colorScale" priority="2">
      <colorScale>
        <cfvo type="num" val="0"/>
        <cfvo type="num" val="2"/>
        <cfvo type="num" val="4"/>
        <color rgb="FFF8696B"/>
        <color rgb="FFFFEB84"/>
        <color rgb="FF63BE7B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C27" activeCellId="0" sqref="C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28"/>
    <col collapsed="false" customWidth="true" hidden="false" outlineLevel="0" max="3" min="3" style="1" width="36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175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customFormat="false" ht="15" hidden="false" customHeight="true" outlineLevel="0" collapsed="false">
      <c r="B4" s="20" t="s">
        <v>176</v>
      </c>
      <c r="C4" s="20" t="s">
        <v>177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15" hidden="false" customHeight="true" outlineLevel="0" collapsed="false">
      <c r="B5" s="22" t="s">
        <v>178</v>
      </c>
      <c r="C5" s="9" t="s">
        <v>179</v>
      </c>
      <c r="D5" s="46" t="s">
        <v>180</v>
      </c>
      <c r="E5" s="47" t="s">
        <v>181</v>
      </c>
      <c r="F5" s="47" t="s">
        <v>181</v>
      </c>
      <c r="G5" s="47" t="s">
        <v>181</v>
      </c>
      <c r="H5" s="48" t="s">
        <v>182</v>
      </c>
      <c r="I5" s="48" t="s">
        <v>182</v>
      </c>
      <c r="J5" s="48" t="s">
        <v>182</v>
      </c>
      <c r="K5" s="48" t="s">
        <v>182</v>
      </c>
      <c r="L5" s="48" t="s">
        <v>182</v>
      </c>
      <c r="M5" s="48" t="s">
        <v>182</v>
      </c>
    </row>
    <row r="6" customFormat="false" ht="15" hidden="false" customHeight="true" outlineLevel="0" collapsed="false">
      <c r="B6" s="22" t="s">
        <v>183</v>
      </c>
      <c r="C6" s="9" t="s">
        <v>179</v>
      </c>
      <c r="D6" s="46" t="s">
        <v>180</v>
      </c>
      <c r="E6" s="47" t="s">
        <v>181</v>
      </c>
      <c r="F6" s="47" t="s">
        <v>181</v>
      </c>
      <c r="G6" s="47" t="s">
        <v>181</v>
      </c>
      <c r="H6" s="48" t="s">
        <v>182</v>
      </c>
      <c r="I6" s="48" t="s">
        <v>182</v>
      </c>
      <c r="J6" s="48" t="s">
        <v>182</v>
      </c>
      <c r="K6" s="48" t="s">
        <v>182</v>
      </c>
      <c r="L6" s="48" t="s">
        <v>182</v>
      </c>
      <c r="M6" s="48" t="s">
        <v>182</v>
      </c>
    </row>
    <row r="7" customFormat="false" ht="15" hidden="false" customHeight="true" outlineLevel="0" collapsed="false">
      <c r="B7" s="22" t="s">
        <v>184</v>
      </c>
      <c r="C7" s="9" t="s">
        <v>185</v>
      </c>
      <c r="D7" s="49" t="s">
        <v>186</v>
      </c>
      <c r="E7" s="46" t="s">
        <v>180</v>
      </c>
      <c r="F7" s="47" t="s">
        <v>181</v>
      </c>
      <c r="G7" s="47" t="s">
        <v>181</v>
      </c>
      <c r="H7" s="47" t="s">
        <v>181</v>
      </c>
      <c r="I7" s="48" t="s">
        <v>182</v>
      </c>
      <c r="J7" s="48" t="s">
        <v>182</v>
      </c>
      <c r="K7" s="48" t="s">
        <v>182</v>
      </c>
      <c r="L7" s="48" t="s">
        <v>182</v>
      </c>
      <c r="M7" s="48" t="s">
        <v>182</v>
      </c>
    </row>
    <row r="8" customFormat="false" ht="15" hidden="false" customHeight="true" outlineLevel="0" collapsed="false">
      <c r="B8" s="22" t="s">
        <v>187</v>
      </c>
      <c r="C8" s="9" t="s">
        <v>188</v>
      </c>
      <c r="D8" s="46" t="s">
        <v>180</v>
      </c>
      <c r="E8" s="47" t="s">
        <v>181</v>
      </c>
      <c r="F8" s="47" t="s">
        <v>181</v>
      </c>
      <c r="G8" s="47" t="s">
        <v>181</v>
      </c>
      <c r="H8" s="48" t="s">
        <v>182</v>
      </c>
      <c r="I8" s="48" t="s">
        <v>182</v>
      </c>
      <c r="J8" s="48" t="s">
        <v>182</v>
      </c>
      <c r="K8" s="48" t="s">
        <v>182</v>
      </c>
      <c r="L8" s="48" t="s">
        <v>182</v>
      </c>
      <c r="M8" s="48" t="s">
        <v>182</v>
      </c>
    </row>
    <row r="9" customFormat="false" ht="15" hidden="false" customHeight="true" outlineLevel="0" collapsed="false">
      <c r="B9" s="22" t="s">
        <v>189</v>
      </c>
      <c r="C9" s="9" t="s">
        <v>190</v>
      </c>
      <c r="D9" s="49" t="s">
        <v>186</v>
      </c>
      <c r="E9" s="46" t="s">
        <v>180</v>
      </c>
      <c r="F9" s="47" t="s">
        <v>181</v>
      </c>
      <c r="G9" s="47" t="s">
        <v>181</v>
      </c>
      <c r="H9" s="47" t="s">
        <v>181</v>
      </c>
      <c r="I9" s="48" t="s">
        <v>182</v>
      </c>
      <c r="J9" s="48" t="s">
        <v>182</v>
      </c>
      <c r="K9" s="48" t="s">
        <v>182</v>
      </c>
      <c r="L9" s="48" t="s">
        <v>182</v>
      </c>
      <c r="M9" s="48" t="s">
        <v>182</v>
      </c>
    </row>
    <row r="10" customFormat="false" ht="15" hidden="false" customHeight="true" outlineLevel="0" collapsed="false">
      <c r="B10" s="22" t="s">
        <v>191</v>
      </c>
      <c r="C10" s="9" t="s">
        <v>192</v>
      </c>
      <c r="D10" s="47" t="s">
        <v>181</v>
      </c>
      <c r="E10" s="47" t="s">
        <v>181</v>
      </c>
      <c r="F10" s="47" t="s">
        <v>181</v>
      </c>
      <c r="G10" s="48" t="s">
        <v>182</v>
      </c>
      <c r="H10" s="48" t="s">
        <v>182</v>
      </c>
      <c r="I10" s="48" t="s">
        <v>182</v>
      </c>
      <c r="J10" s="48" t="s">
        <v>182</v>
      </c>
      <c r="K10" s="48" t="s">
        <v>182</v>
      </c>
      <c r="L10" s="48" t="s">
        <v>182</v>
      </c>
      <c r="M10" s="48" t="s">
        <v>182</v>
      </c>
    </row>
    <row r="11" customFormat="false" ht="15" hidden="false" customHeight="true" outlineLevel="0" collapsed="false">
      <c r="B11" s="22" t="s">
        <v>193</v>
      </c>
      <c r="C11" s="9" t="s">
        <v>194</v>
      </c>
      <c r="D11" s="47" t="s">
        <v>181</v>
      </c>
      <c r="E11" s="47" t="s">
        <v>181</v>
      </c>
      <c r="F11" s="47" t="s">
        <v>181</v>
      </c>
      <c r="G11" s="47" t="s">
        <v>181</v>
      </c>
      <c r="H11" s="48" t="s">
        <v>182</v>
      </c>
      <c r="I11" s="48" t="s">
        <v>182</v>
      </c>
      <c r="J11" s="48" t="s">
        <v>182</v>
      </c>
      <c r="K11" s="48" t="s">
        <v>182</v>
      </c>
      <c r="L11" s="48" t="s">
        <v>182</v>
      </c>
      <c r="M11" s="48" t="s">
        <v>182</v>
      </c>
    </row>
    <row r="12" customFormat="false" ht="15" hidden="false" customHeight="true" outlineLevel="0" collapsed="false">
      <c r="B12" s="22" t="s">
        <v>195</v>
      </c>
      <c r="C12" s="9" t="s">
        <v>196</v>
      </c>
      <c r="D12" s="49" t="s">
        <v>186</v>
      </c>
      <c r="E12" s="46" t="s">
        <v>180</v>
      </c>
      <c r="F12" s="47" t="s">
        <v>181</v>
      </c>
      <c r="G12" s="47" t="s">
        <v>181</v>
      </c>
      <c r="H12" s="47" t="s">
        <v>181</v>
      </c>
      <c r="I12" s="48" t="s">
        <v>182</v>
      </c>
      <c r="J12" s="48" t="s">
        <v>182</v>
      </c>
      <c r="K12" s="48" t="s">
        <v>182</v>
      </c>
      <c r="L12" s="48" t="s">
        <v>182</v>
      </c>
      <c r="M12" s="48" t="s">
        <v>182</v>
      </c>
    </row>
    <row r="13" customFormat="false" ht="15" hidden="false" customHeight="true" outlineLevel="0" collapsed="false">
      <c r="B13" s="22" t="s">
        <v>197</v>
      </c>
      <c r="C13" s="9" t="s">
        <v>198</v>
      </c>
      <c r="D13" s="49" t="s">
        <v>186</v>
      </c>
      <c r="E13" s="46" t="s">
        <v>180</v>
      </c>
      <c r="F13" s="47" t="s">
        <v>181</v>
      </c>
      <c r="G13" s="47" t="s">
        <v>181</v>
      </c>
      <c r="H13" s="47" t="s">
        <v>181</v>
      </c>
      <c r="I13" s="48" t="s">
        <v>182</v>
      </c>
      <c r="J13" s="48" t="s">
        <v>182</v>
      </c>
      <c r="K13" s="48" t="s">
        <v>182</v>
      </c>
      <c r="L13" s="48" t="s">
        <v>182</v>
      </c>
      <c r="M13" s="48" t="s">
        <v>182</v>
      </c>
    </row>
    <row r="14" customFormat="false" ht="15" hidden="false" customHeight="true" outlineLevel="0" collapsed="false">
      <c r="B14" s="22" t="s">
        <v>199</v>
      </c>
      <c r="C14" s="9" t="s">
        <v>200</v>
      </c>
      <c r="D14" s="50" t="s">
        <v>201</v>
      </c>
      <c r="E14" s="49" t="s">
        <v>186</v>
      </c>
      <c r="F14" s="46" t="s">
        <v>180</v>
      </c>
      <c r="G14" s="47" t="s">
        <v>181</v>
      </c>
      <c r="H14" s="47" t="s">
        <v>181</v>
      </c>
      <c r="I14" s="47" t="s">
        <v>181</v>
      </c>
      <c r="J14" s="48" t="s">
        <v>182</v>
      </c>
      <c r="K14" s="48" t="s">
        <v>182</v>
      </c>
      <c r="L14" s="48" t="s">
        <v>182</v>
      </c>
      <c r="M14" s="48" t="s">
        <v>182</v>
      </c>
    </row>
    <row r="15" customFormat="false" ht="15" hidden="false" customHeight="true" outlineLevel="0" collapsed="false">
      <c r="B15" s="22" t="s">
        <v>202</v>
      </c>
      <c r="C15" s="9" t="s">
        <v>203</v>
      </c>
      <c r="D15" s="50" t="s">
        <v>201</v>
      </c>
      <c r="E15" s="49" t="s">
        <v>186</v>
      </c>
      <c r="F15" s="49" t="s">
        <v>186</v>
      </c>
      <c r="G15" s="46" t="s">
        <v>180</v>
      </c>
      <c r="H15" s="47" t="s">
        <v>181</v>
      </c>
      <c r="I15" s="47" t="s">
        <v>181</v>
      </c>
      <c r="J15" s="47" t="s">
        <v>181</v>
      </c>
      <c r="K15" s="48" t="s">
        <v>182</v>
      </c>
      <c r="L15" s="48" t="s">
        <v>182</v>
      </c>
      <c r="M15" s="48" t="s">
        <v>182</v>
      </c>
    </row>
    <row r="16" customFormat="false" ht="15" hidden="false" customHeight="true" outlineLevel="0" collapsed="false">
      <c r="B16" s="22" t="s">
        <v>204</v>
      </c>
      <c r="C16" s="9" t="s">
        <v>205</v>
      </c>
      <c r="D16" s="47" t="s">
        <v>181</v>
      </c>
      <c r="E16" s="47" t="s">
        <v>181</v>
      </c>
      <c r="F16" s="49" t="s">
        <v>186</v>
      </c>
      <c r="G16" s="46" t="s">
        <v>180</v>
      </c>
      <c r="H16" s="47" t="s">
        <v>181</v>
      </c>
      <c r="I16" s="47" t="s">
        <v>181</v>
      </c>
      <c r="J16" s="47" t="s">
        <v>181</v>
      </c>
      <c r="K16" s="47" t="s">
        <v>181</v>
      </c>
      <c r="L16" s="47" t="s">
        <v>181</v>
      </c>
      <c r="M16" s="47" t="s">
        <v>181</v>
      </c>
    </row>
    <row r="17" customFormat="false" ht="15" hidden="false" customHeight="true" outlineLevel="0" collapsed="false">
      <c r="B17" s="22" t="s">
        <v>206</v>
      </c>
      <c r="C17" s="9" t="s">
        <v>207</v>
      </c>
      <c r="D17" s="47" t="s">
        <v>181</v>
      </c>
      <c r="E17" s="47" t="s">
        <v>181</v>
      </c>
      <c r="F17" s="47" t="s">
        <v>181</v>
      </c>
      <c r="G17" s="51"/>
      <c r="H17" s="47" t="s">
        <v>181</v>
      </c>
      <c r="I17" s="51"/>
      <c r="J17" s="47" t="s">
        <v>181</v>
      </c>
      <c r="K17" s="51"/>
      <c r="L17" s="51"/>
      <c r="M17" s="51"/>
    </row>
    <row r="18" customFormat="false" ht="15" hidden="false" customHeight="true" outlineLevel="0" collapsed="false">
      <c r="B18" s="22" t="s">
        <v>208</v>
      </c>
      <c r="C18" s="9" t="s">
        <v>209</v>
      </c>
      <c r="D18" s="50" t="s">
        <v>201</v>
      </c>
      <c r="E18" s="49" t="s">
        <v>186</v>
      </c>
      <c r="F18" s="46" t="s">
        <v>180</v>
      </c>
      <c r="G18" s="47" t="s">
        <v>181</v>
      </c>
      <c r="H18" s="47" t="s">
        <v>181</v>
      </c>
      <c r="I18" s="48" t="s">
        <v>182</v>
      </c>
      <c r="J18" s="48" t="s">
        <v>182</v>
      </c>
      <c r="K18" s="48" t="s">
        <v>182</v>
      </c>
      <c r="L18" s="48" t="s">
        <v>182</v>
      </c>
      <c r="M18" s="48" t="s">
        <v>182</v>
      </c>
    </row>
    <row r="20" customFormat="false" ht="21.75" hidden="false" customHeight="true" outlineLevel="0" collapsed="false">
      <c r="B20" s="6" t="s">
        <v>210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customFormat="false" ht="21.75" hidden="false" customHeight="true" outlineLevel="0" collapsed="false">
      <c r="B21" s="50" t="s">
        <v>201</v>
      </c>
      <c r="C21" s="9" t="s">
        <v>211</v>
      </c>
      <c r="D21" s="49" t="s">
        <v>186</v>
      </c>
      <c r="E21" s="9" t="s">
        <v>212</v>
      </c>
      <c r="F21" s="46" t="s">
        <v>180</v>
      </c>
      <c r="G21" s="9" t="s">
        <v>213</v>
      </c>
      <c r="H21" s="47" t="s">
        <v>181</v>
      </c>
      <c r="I21" s="9" t="s">
        <v>214</v>
      </c>
      <c r="J21" s="48" t="s">
        <v>182</v>
      </c>
      <c r="K21" s="9" t="s">
        <v>215</v>
      </c>
    </row>
  </sheetData>
  <mergeCells count="2">
    <mergeCell ref="B2:M2"/>
    <mergeCell ref="B20:M2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G21" activeCellId="0" sqref="G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6"/>
    <col collapsed="false" customWidth="true" hidden="false" outlineLevel="0" max="3" min="3" style="1" width="56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216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217</v>
      </c>
      <c r="C4" s="20" t="s">
        <v>218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219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23.25" hidden="false" customHeight="true" outlineLevel="0" collapsed="false">
      <c r="B6" s="4" t="s">
        <v>220</v>
      </c>
      <c r="C6" s="9" t="s">
        <v>221</v>
      </c>
      <c r="D6" s="52" t="n">
        <v>45</v>
      </c>
      <c r="E6" s="52" t="n">
        <v>45</v>
      </c>
      <c r="F6" s="52" t="n">
        <v>25</v>
      </c>
      <c r="G6" s="52" t="n">
        <v>18</v>
      </c>
      <c r="H6" s="52" t="n">
        <v>9</v>
      </c>
      <c r="I6" s="52" t="n">
        <v>4.5</v>
      </c>
      <c r="J6" s="52" t="n">
        <v>2.5</v>
      </c>
      <c r="K6" s="52" t="n">
        <v>2.5</v>
      </c>
      <c r="L6" s="52" t="n">
        <v>2.5</v>
      </c>
      <c r="M6" s="52" t="n">
        <v>0</v>
      </c>
    </row>
    <row r="7" customFormat="false" ht="23.25" hidden="false" customHeight="true" outlineLevel="0" collapsed="false">
      <c r="B7" s="4" t="s">
        <v>222</v>
      </c>
      <c r="C7" s="9" t="s">
        <v>223</v>
      </c>
      <c r="D7" s="52" t="n">
        <v>28</v>
      </c>
      <c r="E7" s="52" t="n">
        <v>30</v>
      </c>
      <c r="F7" s="52" t="n">
        <v>13</v>
      </c>
      <c r="G7" s="52" t="n">
        <v>8</v>
      </c>
      <c r="H7" s="52" t="n">
        <v>5</v>
      </c>
      <c r="I7" s="52" t="n">
        <v>3</v>
      </c>
      <c r="J7" s="52" t="n">
        <v>1.5</v>
      </c>
      <c r="K7" s="52" t="n">
        <v>1.5</v>
      </c>
      <c r="L7" s="52" t="n">
        <v>0</v>
      </c>
      <c r="M7" s="52" t="n">
        <v>0</v>
      </c>
    </row>
    <row r="8" customFormat="false" ht="23.25" hidden="false" customHeight="true" outlineLevel="0" collapsed="false">
      <c r="B8" s="4" t="s">
        <v>224</v>
      </c>
      <c r="C8" s="9" t="s">
        <v>225</v>
      </c>
      <c r="D8" s="52" t="n">
        <v>12</v>
      </c>
      <c r="E8" s="52" t="n">
        <v>28</v>
      </c>
      <c r="F8" s="52" t="n">
        <v>17</v>
      </c>
      <c r="G8" s="52" t="n">
        <v>12</v>
      </c>
      <c r="H8" s="52" t="n">
        <v>7</v>
      </c>
      <c r="I8" s="52" t="n">
        <v>3.5</v>
      </c>
      <c r="J8" s="52" t="n">
        <v>2.5</v>
      </c>
      <c r="K8" s="52" t="n">
        <v>1.3</v>
      </c>
      <c r="L8" s="52" t="n">
        <v>1.3</v>
      </c>
      <c r="M8" s="52" t="n">
        <v>1.3</v>
      </c>
    </row>
    <row r="9" customFormat="false" ht="23.25" hidden="false" customHeight="true" outlineLevel="0" collapsed="false">
      <c r="B9" s="4" t="s">
        <v>226</v>
      </c>
      <c r="C9" s="9" t="s">
        <v>227</v>
      </c>
      <c r="D9" s="52" t="n">
        <v>6</v>
      </c>
      <c r="E9" s="52" t="n">
        <v>42</v>
      </c>
      <c r="F9" s="52" t="n">
        <v>17</v>
      </c>
      <c r="G9" s="52" t="n">
        <v>9</v>
      </c>
      <c r="H9" s="52" t="n">
        <v>5</v>
      </c>
      <c r="I9" s="52" t="n">
        <v>2.5</v>
      </c>
      <c r="J9" s="52" t="n">
        <v>1.3</v>
      </c>
      <c r="K9" s="52" t="n">
        <v>1.3</v>
      </c>
      <c r="L9" s="52" t="n">
        <v>1.3</v>
      </c>
      <c r="M9" s="52" t="n">
        <v>0</v>
      </c>
    </row>
    <row r="10" customFormat="false" ht="23.25" hidden="false" customHeight="true" outlineLevel="0" collapsed="false">
      <c r="B10" s="4" t="s">
        <v>228</v>
      </c>
      <c r="C10" s="9" t="s">
        <v>229</v>
      </c>
      <c r="D10" s="52" t="n">
        <v>10</v>
      </c>
      <c r="E10" s="52" t="n">
        <v>65</v>
      </c>
      <c r="F10" s="52" t="n">
        <v>35</v>
      </c>
      <c r="G10" s="52" t="n">
        <v>22</v>
      </c>
      <c r="H10" s="52" t="n">
        <v>12</v>
      </c>
      <c r="I10" s="52" t="n">
        <v>7</v>
      </c>
      <c r="J10" s="52" t="n">
        <v>3.5</v>
      </c>
      <c r="K10" s="52" t="n">
        <v>1.8</v>
      </c>
      <c r="L10" s="52" t="n">
        <v>1.8</v>
      </c>
      <c r="M10" s="52" t="n">
        <v>1.8</v>
      </c>
    </row>
    <row r="11" customFormat="false" ht="15" hidden="false" customHeight="true" outlineLevel="0" collapsed="false">
      <c r="B11" s="53" t="s">
        <v>230</v>
      </c>
      <c r="C11" s="54" t="s">
        <v>231</v>
      </c>
      <c r="D11" s="55" t="n">
        <f aca="false">SUM(D6:D10)</f>
        <v>101</v>
      </c>
      <c r="E11" s="55" t="n">
        <f aca="false">SUM(E6:E10)</f>
        <v>210</v>
      </c>
      <c r="F11" s="55" t="n">
        <f aca="false">SUM(F6:F10)</f>
        <v>107</v>
      </c>
      <c r="G11" s="55" t="n">
        <f aca="false">SUM(G6:G10)</f>
        <v>69</v>
      </c>
      <c r="H11" s="55" t="n">
        <f aca="false">SUM(H6:H10)</f>
        <v>38</v>
      </c>
      <c r="I11" s="55" t="n">
        <f aca="false">SUM(I6:I10)</f>
        <v>20.5</v>
      </c>
      <c r="J11" s="55" t="n">
        <f aca="false">SUM(J6:J10)</f>
        <v>11.3</v>
      </c>
      <c r="K11" s="55" t="n">
        <f aca="false">SUM(K6:K10)</f>
        <v>8.4</v>
      </c>
      <c r="L11" s="55" t="n">
        <f aca="false">SUM(L6:L10)</f>
        <v>6.9</v>
      </c>
      <c r="M11" s="55" t="n">
        <f aca="false">SUM(M6:M10)</f>
        <v>3.1</v>
      </c>
    </row>
    <row r="12" customFormat="false" ht="15" hidden="false" customHeight="true" outlineLevel="0" collapsed="false">
      <c r="B12" s="53" t="s">
        <v>232</v>
      </c>
      <c r="D12" s="23" t="n">
        <f aca="false">D11</f>
        <v>101</v>
      </c>
      <c r="E12" s="23" t="n">
        <f aca="false">D12+E11</f>
        <v>311</v>
      </c>
      <c r="F12" s="23" t="n">
        <f aca="false">E12+F11</f>
        <v>418</v>
      </c>
      <c r="G12" s="23" t="n">
        <f aca="false">F12+G11</f>
        <v>487</v>
      </c>
      <c r="H12" s="23" t="n">
        <f aca="false">G12+H11</f>
        <v>525</v>
      </c>
      <c r="I12" s="23" t="n">
        <f aca="false">H12+I11</f>
        <v>545.5</v>
      </c>
      <c r="J12" s="23" t="n">
        <f aca="false">I12+J11</f>
        <v>556.8</v>
      </c>
      <c r="K12" s="23" t="n">
        <f aca="false">J12+K11</f>
        <v>565.2</v>
      </c>
      <c r="L12" s="23" t="n">
        <f aca="false">K12+L11</f>
        <v>572.1</v>
      </c>
      <c r="M12" s="23" t="n">
        <f aca="false">L12+M11</f>
        <v>575.2</v>
      </c>
    </row>
    <row r="14" customFormat="false" ht="21.75" hidden="false" customHeight="true" outlineLevel="0" collapsed="false">
      <c r="B14" s="6" t="s">
        <v>233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23.25" hidden="false" customHeight="true" outlineLevel="0" collapsed="false">
      <c r="B15" s="9" t="s">
        <v>220</v>
      </c>
      <c r="C15" s="54" t="s">
        <v>234</v>
      </c>
      <c r="D15" s="56" t="n">
        <v>0.55</v>
      </c>
      <c r="E15" s="56" t="n">
        <v>0.7</v>
      </c>
      <c r="F15" s="56" t="n">
        <v>0.82</v>
      </c>
      <c r="G15" s="56" t="n">
        <v>0.9</v>
      </c>
      <c r="H15" s="56" t="n">
        <v>0.94</v>
      </c>
      <c r="I15" s="56" t="n">
        <v>0.96</v>
      </c>
      <c r="J15" s="56" t="n">
        <v>0.97</v>
      </c>
      <c r="K15" s="56" t="n">
        <v>0.98</v>
      </c>
      <c r="L15" s="56" t="n">
        <v>0.99</v>
      </c>
      <c r="M15" s="56" t="n">
        <v>0.99</v>
      </c>
    </row>
    <row r="16" customFormat="false" ht="23.25" hidden="false" customHeight="true" outlineLevel="0" collapsed="false">
      <c r="B16" s="9" t="s">
        <v>222</v>
      </c>
      <c r="C16" s="54" t="s">
        <v>234</v>
      </c>
      <c r="D16" s="56" t="n">
        <v>0.6</v>
      </c>
      <c r="E16" s="56" t="n">
        <v>0.75</v>
      </c>
      <c r="F16" s="56" t="n">
        <v>0.85</v>
      </c>
      <c r="G16" s="56" t="n">
        <v>0.91</v>
      </c>
      <c r="H16" s="56" t="n">
        <v>0.95</v>
      </c>
      <c r="I16" s="56" t="n">
        <v>0.97</v>
      </c>
      <c r="J16" s="56" t="n">
        <v>0.98</v>
      </c>
      <c r="K16" s="56" t="n">
        <v>0.99</v>
      </c>
      <c r="L16" s="56" t="n">
        <v>0.99</v>
      </c>
      <c r="M16" s="56" t="n">
        <v>0.99</v>
      </c>
    </row>
    <row r="17" customFormat="false" ht="23.25" hidden="false" customHeight="true" outlineLevel="0" collapsed="false">
      <c r="B17" s="9" t="s">
        <v>224</v>
      </c>
      <c r="C17" s="54" t="s">
        <v>234</v>
      </c>
      <c r="D17" s="56" t="n">
        <v>0.4</v>
      </c>
      <c r="E17" s="56" t="n">
        <v>0.6</v>
      </c>
      <c r="F17" s="56" t="n">
        <v>0.75</v>
      </c>
      <c r="G17" s="56" t="n">
        <v>0.85</v>
      </c>
      <c r="H17" s="56" t="n">
        <v>0.91</v>
      </c>
      <c r="I17" s="56" t="n">
        <v>0.94</v>
      </c>
      <c r="J17" s="56" t="n">
        <v>0.96</v>
      </c>
      <c r="K17" s="56" t="n">
        <v>0.97</v>
      </c>
      <c r="L17" s="56" t="n">
        <v>0.98</v>
      </c>
      <c r="M17" s="56" t="n">
        <v>0.99</v>
      </c>
    </row>
    <row r="18" customFormat="false" ht="23.25" hidden="false" customHeight="true" outlineLevel="0" collapsed="false">
      <c r="B18" s="9" t="s">
        <v>226</v>
      </c>
      <c r="C18" s="54" t="s">
        <v>234</v>
      </c>
      <c r="D18" s="56" t="n">
        <v>0.5</v>
      </c>
      <c r="E18" s="56" t="n">
        <v>0.7</v>
      </c>
      <c r="F18" s="56" t="n">
        <v>0.83</v>
      </c>
      <c r="G18" s="56" t="n">
        <v>0.9</v>
      </c>
      <c r="H18" s="56" t="n">
        <v>0.94</v>
      </c>
      <c r="I18" s="56" t="n">
        <v>0.96</v>
      </c>
      <c r="J18" s="56" t="n">
        <v>0.97</v>
      </c>
      <c r="K18" s="56" t="n">
        <v>0.98</v>
      </c>
      <c r="L18" s="56" t="n">
        <v>0.99</v>
      </c>
      <c r="M18" s="56" t="n">
        <v>0.99</v>
      </c>
    </row>
    <row r="19" customFormat="false" ht="23.25" hidden="false" customHeight="true" outlineLevel="0" collapsed="false">
      <c r="B19" s="9" t="s">
        <v>228</v>
      </c>
      <c r="C19" s="54" t="s">
        <v>234</v>
      </c>
      <c r="D19" s="56" t="n">
        <v>0.25</v>
      </c>
      <c r="E19" s="56" t="n">
        <v>0.5</v>
      </c>
      <c r="F19" s="56" t="n">
        <v>0.7</v>
      </c>
      <c r="G19" s="56" t="n">
        <v>0.83</v>
      </c>
      <c r="H19" s="56" t="n">
        <v>0.9</v>
      </c>
      <c r="I19" s="56" t="n">
        <v>0.94</v>
      </c>
      <c r="J19" s="56" t="n">
        <v>0.96</v>
      </c>
      <c r="K19" s="56" t="n">
        <v>0.97</v>
      </c>
      <c r="L19" s="56" t="n">
        <v>0.98</v>
      </c>
      <c r="M19" s="56" t="n">
        <v>0.99</v>
      </c>
    </row>
    <row r="20" customFormat="false" ht="21.75" hidden="false" customHeight="true" outlineLevel="0" collapsed="false">
      <c r="B20" s="6" t="s">
        <v>235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23.25" hidden="false" customHeight="true" outlineLevel="0" collapsed="false">
      <c r="B21" s="54" t="s">
        <v>236</v>
      </c>
      <c r="D21" s="27" t="n">
        <f aca="false">MIN(1,D15*Assumptions!$C$26)</f>
        <v>0.55</v>
      </c>
      <c r="E21" s="27" t="n">
        <f aca="false">MIN(1,E15*Assumptions!$C$26)</f>
        <v>0.7</v>
      </c>
      <c r="F21" s="27" t="n">
        <f aca="false">MIN(1,F15*Assumptions!$C$26)</f>
        <v>0.82</v>
      </c>
      <c r="G21" s="27" t="n">
        <f aca="false">MIN(1,G15*Assumptions!$C$26)</f>
        <v>0.9</v>
      </c>
      <c r="H21" s="27" t="n">
        <f aca="false">MIN(1,H15*Assumptions!$C$26)</f>
        <v>0.94</v>
      </c>
      <c r="I21" s="27" t="n">
        <f aca="false">MIN(1,I15*Assumptions!$C$26)</f>
        <v>0.96</v>
      </c>
      <c r="J21" s="27" t="n">
        <f aca="false">MIN(1,J15*Assumptions!$C$26)</f>
        <v>0.97</v>
      </c>
      <c r="K21" s="27" t="n">
        <f aca="false">MIN(1,K15*Assumptions!$C$26)</f>
        <v>0.98</v>
      </c>
      <c r="L21" s="27" t="n">
        <f aca="false">MIN(1,L15*Assumptions!$C$26)</f>
        <v>0.99</v>
      </c>
      <c r="M21" s="27" t="n">
        <f aca="false">MIN(1,M15*Assumptions!$C$26)</f>
        <v>0.99</v>
      </c>
    </row>
    <row r="22" customFormat="false" ht="23.25" hidden="false" customHeight="true" outlineLevel="0" collapsed="false">
      <c r="B22" s="54" t="s">
        <v>237</v>
      </c>
      <c r="D22" s="27" t="n">
        <f aca="false">MIN(1,D16*Assumptions!$C$26)</f>
        <v>0.6</v>
      </c>
      <c r="E22" s="27" t="n">
        <f aca="false">MIN(1,E16*Assumptions!$C$26)</f>
        <v>0.75</v>
      </c>
      <c r="F22" s="27" t="n">
        <f aca="false">MIN(1,F16*Assumptions!$C$26)</f>
        <v>0.85</v>
      </c>
      <c r="G22" s="27" t="n">
        <f aca="false">MIN(1,G16*Assumptions!$C$26)</f>
        <v>0.91</v>
      </c>
      <c r="H22" s="27" t="n">
        <f aca="false">MIN(1,H16*Assumptions!$C$26)</f>
        <v>0.95</v>
      </c>
      <c r="I22" s="27" t="n">
        <f aca="false">MIN(1,I16*Assumptions!$C$26)</f>
        <v>0.97</v>
      </c>
      <c r="J22" s="27" t="n">
        <f aca="false">MIN(1,J16*Assumptions!$C$26)</f>
        <v>0.98</v>
      </c>
      <c r="K22" s="27" t="n">
        <f aca="false">MIN(1,K16*Assumptions!$C$26)</f>
        <v>0.99</v>
      </c>
      <c r="L22" s="27" t="n">
        <f aca="false">MIN(1,L16*Assumptions!$C$26)</f>
        <v>0.99</v>
      </c>
      <c r="M22" s="27" t="n">
        <f aca="false">MIN(1,M16*Assumptions!$C$26)</f>
        <v>0.99</v>
      </c>
    </row>
    <row r="23" customFormat="false" ht="23.25" hidden="false" customHeight="true" outlineLevel="0" collapsed="false">
      <c r="B23" s="54" t="s">
        <v>238</v>
      </c>
      <c r="D23" s="27" t="n">
        <f aca="false">MIN(1,D17*Assumptions!$C$26)</f>
        <v>0.4</v>
      </c>
      <c r="E23" s="27" t="n">
        <f aca="false">MIN(1,E17*Assumptions!$C$26)</f>
        <v>0.6</v>
      </c>
      <c r="F23" s="27" t="n">
        <f aca="false">MIN(1,F17*Assumptions!$C$26)</f>
        <v>0.75</v>
      </c>
      <c r="G23" s="27" t="n">
        <f aca="false">MIN(1,G17*Assumptions!$C$26)</f>
        <v>0.85</v>
      </c>
      <c r="H23" s="27" t="n">
        <f aca="false">MIN(1,H17*Assumptions!$C$26)</f>
        <v>0.91</v>
      </c>
      <c r="I23" s="27" t="n">
        <f aca="false">MIN(1,I17*Assumptions!$C$26)</f>
        <v>0.94</v>
      </c>
      <c r="J23" s="27" t="n">
        <f aca="false">MIN(1,J17*Assumptions!$C$26)</f>
        <v>0.96</v>
      </c>
      <c r="K23" s="27" t="n">
        <f aca="false">MIN(1,K17*Assumptions!$C$26)</f>
        <v>0.97</v>
      </c>
      <c r="L23" s="27" t="n">
        <f aca="false">MIN(1,L17*Assumptions!$C$26)</f>
        <v>0.98</v>
      </c>
      <c r="M23" s="27" t="n">
        <f aca="false">MIN(1,M17*Assumptions!$C$26)</f>
        <v>0.99</v>
      </c>
    </row>
    <row r="24" customFormat="false" ht="23.25" hidden="false" customHeight="true" outlineLevel="0" collapsed="false">
      <c r="B24" s="54" t="s">
        <v>239</v>
      </c>
      <c r="D24" s="27" t="n">
        <f aca="false">MIN(1,D18*Assumptions!$C$26)</f>
        <v>0.5</v>
      </c>
      <c r="E24" s="27" t="n">
        <f aca="false">MIN(1,E18*Assumptions!$C$26)</f>
        <v>0.7</v>
      </c>
      <c r="F24" s="27" t="n">
        <f aca="false">MIN(1,F18*Assumptions!$C$26)</f>
        <v>0.83</v>
      </c>
      <c r="G24" s="27" t="n">
        <f aca="false">MIN(1,G18*Assumptions!$C$26)</f>
        <v>0.9</v>
      </c>
      <c r="H24" s="27" t="n">
        <f aca="false">MIN(1,H18*Assumptions!$C$26)</f>
        <v>0.94</v>
      </c>
      <c r="I24" s="27" t="n">
        <f aca="false">MIN(1,I18*Assumptions!$C$26)</f>
        <v>0.96</v>
      </c>
      <c r="J24" s="27" t="n">
        <f aca="false">MIN(1,J18*Assumptions!$C$26)</f>
        <v>0.97</v>
      </c>
      <c r="K24" s="27" t="n">
        <f aca="false">MIN(1,K18*Assumptions!$C$26)</f>
        <v>0.98</v>
      </c>
      <c r="L24" s="27" t="n">
        <f aca="false">MIN(1,L18*Assumptions!$C$26)</f>
        <v>0.99</v>
      </c>
      <c r="M24" s="27" t="n">
        <f aca="false">MIN(1,M18*Assumptions!$C$26)</f>
        <v>0.99</v>
      </c>
    </row>
    <row r="25" customFormat="false" ht="23.25" hidden="false" customHeight="true" outlineLevel="0" collapsed="false">
      <c r="B25" s="54" t="s">
        <v>240</v>
      </c>
      <c r="D25" s="27" t="n">
        <f aca="false">MIN(1,D19*Assumptions!$C$26)</f>
        <v>0.25</v>
      </c>
      <c r="E25" s="27" t="n">
        <f aca="false">MIN(1,E19*Assumptions!$C$26)</f>
        <v>0.5</v>
      </c>
      <c r="F25" s="27" t="n">
        <f aca="false">MIN(1,F19*Assumptions!$C$26)</f>
        <v>0.7</v>
      </c>
      <c r="G25" s="27" t="n">
        <f aca="false">MIN(1,G19*Assumptions!$C$26)</f>
        <v>0.83</v>
      </c>
      <c r="H25" s="27" t="n">
        <f aca="false">MIN(1,H19*Assumptions!$C$26)</f>
        <v>0.9</v>
      </c>
      <c r="I25" s="27" t="n">
        <f aca="false">MIN(1,I19*Assumptions!$C$26)</f>
        <v>0.94</v>
      </c>
      <c r="J25" s="27" t="n">
        <f aca="false">MIN(1,J19*Assumptions!$C$26)</f>
        <v>0.96</v>
      </c>
      <c r="K25" s="27" t="n">
        <f aca="false">MIN(1,K19*Assumptions!$C$26)</f>
        <v>0.97</v>
      </c>
      <c r="L25" s="27" t="n">
        <f aca="false">MIN(1,L19*Assumptions!$C$26)</f>
        <v>0.98</v>
      </c>
      <c r="M25" s="27" t="n">
        <f aca="false">MIN(1,M19*Assumptions!$C$26)</f>
        <v>0.99</v>
      </c>
    </row>
  </sheetData>
  <mergeCells count="4">
    <mergeCell ref="B2:N2"/>
    <mergeCell ref="B5:N5"/>
    <mergeCell ref="B14:N14"/>
    <mergeCell ref="B20:N2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C87" activeCellId="0" sqref="C8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5"/>
    <col collapsed="false" customWidth="true" hidden="false" outlineLevel="0" max="3" min="3" style="1" width="28"/>
    <col collapsed="false" customWidth="true" hidden="false" outlineLevel="0" max="13" min="4" style="1" width="12"/>
  </cols>
  <sheetData>
    <row r="2" customFormat="false" ht="17.25" hidden="false" customHeight="true" outlineLevel="0" collapsed="false">
      <c r="B2" s="57" t="s">
        <v>241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</row>
    <row r="3" customFormat="false" ht="15" hidden="false" customHeight="true" outlineLevel="0" collapsed="false">
      <c r="B3" s="58" t="s">
        <v>242</v>
      </c>
      <c r="C3" s="59" t="s">
        <v>243</v>
      </c>
      <c r="D3" s="59"/>
      <c r="E3" s="59"/>
      <c r="F3" s="59"/>
      <c r="G3" s="59"/>
      <c r="H3" s="59"/>
      <c r="I3" s="59"/>
      <c r="J3" s="59"/>
      <c r="K3" s="59"/>
      <c r="L3" s="59"/>
      <c r="M3" s="59"/>
    </row>
    <row r="5" customFormat="false" ht="15" hidden="false" customHeight="true" outlineLevel="0" collapsed="false">
      <c r="B5" s="60" t="s">
        <v>244</v>
      </c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</row>
    <row r="6" customFormat="false" ht="15" hidden="false" customHeight="true" outlineLevel="0" collapsed="false">
      <c r="B6" s="61" t="s">
        <v>217</v>
      </c>
      <c r="C6" s="61" t="s">
        <v>245</v>
      </c>
      <c r="D6" s="61" t="s">
        <v>30</v>
      </c>
      <c r="E6" s="61" t="s">
        <v>25</v>
      </c>
      <c r="F6" s="61" t="s">
        <v>44</v>
      </c>
      <c r="G6" s="61" t="s">
        <v>39</v>
      </c>
      <c r="H6" s="61" t="s">
        <v>58</v>
      </c>
      <c r="I6" s="61" t="s">
        <v>59</v>
      </c>
      <c r="J6" s="61" t="s">
        <v>60</v>
      </c>
      <c r="K6" s="61" t="s">
        <v>61</v>
      </c>
      <c r="L6" s="61" t="s">
        <v>62</v>
      </c>
      <c r="M6" s="61" t="s">
        <v>63</v>
      </c>
    </row>
    <row r="7" customFormat="false" ht="15" hidden="false" customHeight="true" outlineLevel="0" collapsed="false">
      <c r="B7" s="36" t="s">
        <v>246</v>
      </c>
      <c r="C7" s="36" t="str">
        <f aca="false">Platform!C6</f>
        <v>X/S/Ku-band T/R modules, GaN PA/LNA, beamforming, antenna design - carried over from ESM, now extended to AESA and C-UAS.</v>
      </c>
      <c r="D7" s="36" t="n">
        <f aca="false">Platform!D6</f>
        <v>45</v>
      </c>
      <c r="E7" s="36" t="n">
        <f aca="false">Platform!E6</f>
        <v>45</v>
      </c>
      <c r="F7" s="36" t="n">
        <f aca="false">Platform!F6</f>
        <v>25</v>
      </c>
      <c r="G7" s="36" t="n">
        <f aca="false">Platform!G6</f>
        <v>18</v>
      </c>
      <c r="H7" s="36" t="n">
        <f aca="false">Platform!H6</f>
        <v>9</v>
      </c>
      <c r="I7" s="36" t="n">
        <f aca="false">Platform!I6</f>
        <v>4.5</v>
      </c>
      <c r="J7" s="36" t="n">
        <f aca="false">Platform!J6</f>
        <v>2.5</v>
      </c>
      <c r="K7" s="36" t="n">
        <f aca="false">Platform!K6</f>
        <v>2.5</v>
      </c>
      <c r="L7" s="36" t="n">
        <f aca="false">Platform!L6</f>
        <v>2.5</v>
      </c>
      <c r="M7" s="36" t="n">
        <f aca="false">Platform!M6</f>
        <v>0</v>
      </c>
    </row>
    <row r="8" customFormat="false" ht="15" hidden="false" customHeight="true" outlineLevel="0" collapsed="false">
      <c r="B8" s="36" t="s">
        <v>247</v>
      </c>
      <c r="C8" s="36" t="str">
        <f aca="false">Platform!C7</f>
        <v>Real-time FPGA pipelines, SDR firmware, DBF - already fielded in ESM; reused across Radar, C-UAS, AI sensor fusion.</v>
      </c>
      <c r="D8" s="36" t="n">
        <f aca="false">Platform!D7</f>
        <v>28</v>
      </c>
      <c r="E8" s="36" t="n">
        <f aca="false">Platform!E7</f>
        <v>30</v>
      </c>
      <c r="F8" s="36" t="n">
        <f aca="false">Platform!F7</f>
        <v>13</v>
      </c>
      <c r="G8" s="36" t="n">
        <f aca="false">Platform!G7</f>
        <v>8</v>
      </c>
      <c r="H8" s="36" t="n">
        <f aca="false">Platform!H7</f>
        <v>5</v>
      </c>
      <c r="I8" s="36" t="n">
        <f aca="false">Platform!I7</f>
        <v>3</v>
      </c>
      <c r="J8" s="36" t="n">
        <f aca="false">Platform!J7</f>
        <v>1.5</v>
      </c>
      <c r="K8" s="36" t="n">
        <f aca="false">Platform!K7</f>
        <v>1.5</v>
      </c>
      <c r="L8" s="36" t="n">
        <f aca="false">Platform!L7</f>
        <v>0</v>
      </c>
      <c r="M8" s="36" t="n">
        <f aca="false">Platform!M7</f>
        <v>0</v>
      </c>
    </row>
    <row r="9" customFormat="false" ht="15" hidden="false" customHeight="true" outlineLevel="0" collapsed="false">
      <c r="B9" s="36" t="s">
        <v>248</v>
      </c>
      <c r="C9" s="36" t="str">
        <f aca="false">Platform!C8</f>
        <v>MIL-STD-810/461/704 hardening, mechanical/thermal, V&amp;V - every product line consumes this.</v>
      </c>
      <c r="D9" s="36" t="n">
        <f aca="false">Platform!D8</f>
        <v>12</v>
      </c>
      <c r="E9" s="36" t="n">
        <f aca="false">Platform!E8</f>
        <v>28</v>
      </c>
      <c r="F9" s="36" t="n">
        <f aca="false">Platform!F8</f>
        <v>17</v>
      </c>
      <c r="G9" s="36" t="n">
        <f aca="false">Platform!G8</f>
        <v>12</v>
      </c>
      <c r="H9" s="36" t="n">
        <f aca="false">Platform!H8</f>
        <v>7</v>
      </c>
      <c r="I9" s="36" t="n">
        <f aca="false">Platform!I8</f>
        <v>3.5</v>
      </c>
      <c r="J9" s="36" t="n">
        <f aca="false">Platform!J8</f>
        <v>2.5</v>
      </c>
      <c r="K9" s="36" t="n">
        <f aca="false">Platform!K8</f>
        <v>1.3</v>
      </c>
      <c r="L9" s="36" t="n">
        <f aca="false">Platform!L8</f>
        <v>1.3</v>
      </c>
      <c r="M9" s="36" t="n">
        <f aca="false">Platform!M8</f>
        <v>1.3</v>
      </c>
    </row>
    <row r="10" customFormat="false" ht="15" hidden="false" customHeight="true" outlineLevel="0" collapsed="false">
      <c r="B10" s="36" t="s">
        <v>249</v>
      </c>
      <c r="C10" s="36" t="str">
        <f aca="false">Platform!C9</f>
        <v>RTOS, mission computer SW, C2 interfaces, cybersecurity, MOSA/FACE - productized early, shipped with ESM and Mil-AI in Y1.</v>
      </c>
      <c r="D10" s="36" t="n">
        <f aca="false">Platform!D9</f>
        <v>6</v>
      </c>
      <c r="E10" s="36" t="n">
        <f aca="false">Platform!E9</f>
        <v>42</v>
      </c>
      <c r="F10" s="36" t="n">
        <f aca="false">Platform!F9</f>
        <v>17</v>
      </c>
      <c r="G10" s="36" t="n">
        <f aca="false">Platform!G9</f>
        <v>9</v>
      </c>
      <c r="H10" s="36" t="n">
        <f aca="false">Platform!H9</f>
        <v>5</v>
      </c>
      <c r="I10" s="36" t="n">
        <f aca="false">Platform!I9</f>
        <v>2.5</v>
      </c>
      <c r="J10" s="36" t="n">
        <f aca="false">Platform!J9</f>
        <v>1.3</v>
      </c>
      <c r="K10" s="36" t="n">
        <f aca="false">Platform!K9</f>
        <v>1.3</v>
      </c>
      <c r="L10" s="36" t="n">
        <f aca="false">Platform!L9</f>
        <v>1.3</v>
      </c>
      <c r="M10" s="36" t="n">
        <f aca="false">Platform!M9</f>
        <v>0</v>
      </c>
    </row>
    <row r="11" customFormat="false" ht="15" hidden="false" customHeight="true" outlineLevel="0" collapsed="false">
      <c r="B11" s="36" t="s">
        <v>250</v>
      </c>
      <c r="C11" s="36" t="str">
        <f aca="false">Platform!C10</f>
        <v>CV, sensor fusion, autonomy stack, MLOps - fastest-growing module; heaviest reuse in C-UAS, UAS, AUV/USV, MilAI.</v>
      </c>
      <c r="D11" s="36" t="n">
        <f aca="false">Platform!D10</f>
        <v>10</v>
      </c>
      <c r="E11" s="36" t="n">
        <f aca="false">Platform!E10</f>
        <v>65</v>
      </c>
      <c r="F11" s="36" t="n">
        <f aca="false">Platform!F10</f>
        <v>35</v>
      </c>
      <c r="G11" s="36" t="n">
        <f aca="false">Platform!G10</f>
        <v>22</v>
      </c>
      <c r="H11" s="36" t="n">
        <f aca="false">Platform!H10</f>
        <v>12</v>
      </c>
      <c r="I11" s="36" t="n">
        <f aca="false">Platform!I10</f>
        <v>7</v>
      </c>
      <c r="J11" s="36" t="n">
        <f aca="false">Platform!J10</f>
        <v>3.5</v>
      </c>
      <c r="K11" s="36" t="n">
        <f aca="false">Platform!K10</f>
        <v>1.8</v>
      </c>
      <c r="L11" s="36" t="n">
        <f aca="false">Platform!L10</f>
        <v>1.8</v>
      </c>
      <c r="M11" s="36" t="n">
        <f aca="false">Platform!M10</f>
        <v>1.8</v>
      </c>
    </row>
    <row r="12" customFormat="false" ht="15" hidden="false" customHeight="true" outlineLevel="0" collapsed="false">
      <c r="B12" s="62" t="s">
        <v>251</v>
      </c>
      <c r="C12" s="62" t="s">
        <v>252</v>
      </c>
      <c r="D12" s="62" t="n">
        <f aca="false">SUM(D7:D11)</f>
        <v>101</v>
      </c>
      <c r="E12" s="62" t="n">
        <f aca="false">SUM(E7:E11)</f>
        <v>210</v>
      </c>
      <c r="F12" s="62" t="n">
        <f aca="false">SUM(F7:F11)</f>
        <v>107</v>
      </c>
      <c r="G12" s="62" t="n">
        <f aca="false">SUM(G7:G11)</f>
        <v>69</v>
      </c>
      <c r="H12" s="62" t="n">
        <f aca="false">SUM(H7:H11)</f>
        <v>38</v>
      </c>
      <c r="I12" s="62" t="n">
        <f aca="false">SUM(I7:I11)</f>
        <v>20.5</v>
      </c>
      <c r="J12" s="62" t="n">
        <f aca="false">SUM(J7:J11)</f>
        <v>11.3</v>
      </c>
      <c r="K12" s="62" t="n">
        <f aca="false">SUM(K7:K11)</f>
        <v>8.4</v>
      </c>
      <c r="L12" s="62" t="n">
        <f aca="false">SUM(L7:L11)</f>
        <v>6.9</v>
      </c>
      <c r="M12" s="62" t="n">
        <f aca="false">SUM(M7:M11)</f>
        <v>3.1</v>
      </c>
    </row>
    <row r="14" customFormat="false" ht="15" hidden="false" customHeight="true" outlineLevel="0" collapsed="false">
      <c r="B14" s="60" t="s">
        <v>253</v>
      </c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</row>
    <row r="15" customFormat="false" ht="15" hidden="false" customHeight="true" outlineLevel="0" collapsed="false">
      <c r="B15" s="61" t="s">
        <v>217</v>
      </c>
      <c r="C15" s="61" t="s">
        <v>254</v>
      </c>
      <c r="D15" s="61" t="s">
        <v>30</v>
      </c>
      <c r="E15" s="61" t="s">
        <v>25</v>
      </c>
      <c r="F15" s="61" t="s">
        <v>44</v>
      </c>
      <c r="G15" s="61" t="s">
        <v>39</v>
      </c>
      <c r="H15" s="61" t="s">
        <v>58</v>
      </c>
      <c r="I15" s="61" t="s">
        <v>59</v>
      </c>
      <c r="J15" s="61" t="s">
        <v>60</v>
      </c>
      <c r="K15" s="61" t="s">
        <v>61</v>
      </c>
      <c r="L15" s="61" t="s">
        <v>62</v>
      </c>
      <c r="M15" s="61" t="s">
        <v>63</v>
      </c>
    </row>
    <row r="16" customFormat="false" ht="15" hidden="false" customHeight="true" outlineLevel="0" collapsed="false">
      <c r="B16" s="63" t="s">
        <v>246</v>
      </c>
      <c r="C16" s="63" t="s">
        <v>255</v>
      </c>
      <c r="D16" s="63" t="n">
        <v>0.5</v>
      </c>
      <c r="E16" s="63" t="n">
        <v>0.35</v>
      </c>
      <c r="F16" s="63" t="n">
        <v>0.2</v>
      </c>
      <c r="G16" s="63" t="n">
        <v>0.15</v>
      </c>
      <c r="H16" s="63" t="n">
        <v>0.1</v>
      </c>
      <c r="I16" s="63" t="n">
        <v>0.1</v>
      </c>
      <c r="J16" s="63" t="n">
        <v>0.05</v>
      </c>
      <c r="K16" s="63" t="n">
        <v>0.05</v>
      </c>
      <c r="L16" s="63" t="n">
        <v>0.05</v>
      </c>
      <c r="M16" s="63" t="n">
        <v>0.05</v>
      </c>
    </row>
    <row r="17" customFormat="false" ht="15" hidden="false" customHeight="true" outlineLevel="0" collapsed="false">
      <c r="B17" s="63" t="s">
        <v>247</v>
      </c>
      <c r="C17" s="63" t="s">
        <v>255</v>
      </c>
      <c r="D17" s="63" t="n">
        <v>0.45</v>
      </c>
      <c r="E17" s="63" t="n">
        <v>0.3</v>
      </c>
      <c r="F17" s="63" t="n">
        <v>0.18</v>
      </c>
      <c r="G17" s="63" t="n">
        <v>0.12</v>
      </c>
      <c r="H17" s="63" t="n">
        <v>0.08</v>
      </c>
      <c r="I17" s="63" t="n">
        <v>0.05</v>
      </c>
      <c r="J17" s="63" t="n">
        <v>0.05</v>
      </c>
      <c r="K17" s="63" t="n">
        <v>0.05</v>
      </c>
      <c r="L17" s="63" t="n">
        <v>0.05</v>
      </c>
      <c r="M17" s="63" t="n">
        <v>0.05</v>
      </c>
    </row>
    <row r="18" customFormat="false" ht="15" hidden="false" customHeight="true" outlineLevel="0" collapsed="false">
      <c r="B18" s="63" t="s">
        <v>248</v>
      </c>
      <c r="C18" s="63" t="s">
        <v>255</v>
      </c>
      <c r="D18" s="63" t="n">
        <v>0.35</v>
      </c>
      <c r="E18" s="63" t="n">
        <v>0.25</v>
      </c>
      <c r="F18" s="63" t="n">
        <v>0.15</v>
      </c>
      <c r="G18" s="63" t="n">
        <v>0.1</v>
      </c>
      <c r="H18" s="63" t="n">
        <v>0.08</v>
      </c>
      <c r="I18" s="63" t="n">
        <v>0.05</v>
      </c>
      <c r="J18" s="63" t="n">
        <v>0.05</v>
      </c>
      <c r="K18" s="63" t="n">
        <v>0.05</v>
      </c>
      <c r="L18" s="63" t="n">
        <v>0.05</v>
      </c>
      <c r="M18" s="63" t="n">
        <v>0.05</v>
      </c>
    </row>
    <row r="19" customFormat="false" ht="15" hidden="false" customHeight="true" outlineLevel="0" collapsed="false">
      <c r="B19" s="63" t="s">
        <v>249</v>
      </c>
      <c r="C19" s="63" t="s">
        <v>255</v>
      </c>
      <c r="D19" s="63" t="n">
        <v>0.4</v>
      </c>
      <c r="E19" s="63" t="n">
        <v>0.25</v>
      </c>
      <c r="F19" s="63" t="n">
        <v>0.15</v>
      </c>
      <c r="G19" s="63" t="n">
        <v>0.1</v>
      </c>
      <c r="H19" s="63" t="n">
        <v>0.08</v>
      </c>
      <c r="I19" s="63" t="n">
        <v>0.05</v>
      </c>
      <c r="J19" s="63" t="n">
        <v>0.05</v>
      </c>
      <c r="K19" s="63" t="n">
        <v>0.05</v>
      </c>
      <c r="L19" s="63" t="n">
        <v>0.05</v>
      </c>
      <c r="M19" s="63" t="n">
        <v>0.05</v>
      </c>
    </row>
    <row r="20" customFormat="false" ht="15" hidden="false" customHeight="true" outlineLevel="0" collapsed="false">
      <c r="B20" s="63" t="s">
        <v>250</v>
      </c>
      <c r="C20" s="63" t="s">
        <v>255</v>
      </c>
      <c r="D20" s="63" t="n">
        <v>0.65</v>
      </c>
      <c r="E20" s="63" t="n">
        <v>0.5</v>
      </c>
      <c r="F20" s="63" t="n">
        <v>0.35</v>
      </c>
      <c r="G20" s="63" t="n">
        <v>0.25</v>
      </c>
      <c r="H20" s="63" t="n">
        <v>0.18</v>
      </c>
      <c r="I20" s="63" t="n">
        <v>0.12</v>
      </c>
      <c r="J20" s="63" t="n">
        <v>0.1</v>
      </c>
      <c r="K20" s="63" t="n">
        <v>0.08</v>
      </c>
      <c r="L20" s="63" t="n">
        <v>0.08</v>
      </c>
      <c r="M20" s="63" t="n">
        <v>0.08</v>
      </c>
    </row>
    <row r="23" customFormat="false" ht="15" hidden="false" customHeight="true" outlineLevel="0" collapsed="false">
      <c r="B23" s="60" t="s">
        <v>256</v>
      </c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</row>
    <row r="24" customFormat="false" ht="15" hidden="false" customHeight="true" outlineLevel="0" collapsed="false">
      <c r="B24" s="61" t="s">
        <v>217</v>
      </c>
      <c r="C24" s="61" t="s">
        <v>254</v>
      </c>
      <c r="D24" s="61" t="s">
        <v>30</v>
      </c>
      <c r="E24" s="61" t="s">
        <v>25</v>
      </c>
      <c r="F24" s="61" t="s">
        <v>44</v>
      </c>
      <c r="G24" s="61" t="s">
        <v>39</v>
      </c>
      <c r="H24" s="61" t="s">
        <v>58</v>
      </c>
      <c r="I24" s="61" t="s">
        <v>59</v>
      </c>
      <c r="J24" s="61" t="s">
        <v>60</v>
      </c>
      <c r="K24" s="61" t="s">
        <v>61</v>
      </c>
      <c r="L24" s="61" t="s">
        <v>62</v>
      </c>
      <c r="M24" s="61" t="s">
        <v>63</v>
      </c>
    </row>
    <row r="25" customFormat="false" ht="15" hidden="false" customHeight="true" outlineLevel="0" collapsed="false">
      <c r="B25" s="63" t="s">
        <v>246</v>
      </c>
      <c r="C25" s="63" t="s">
        <v>257</v>
      </c>
      <c r="D25" s="63" t="n">
        <v>0.25</v>
      </c>
      <c r="E25" s="63" t="n">
        <v>0.45</v>
      </c>
      <c r="F25" s="63" t="n">
        <v>0.6</v>
      </c>
      <c r="G25" s="63" t="n">
        <v>0.65</v>
      </c>
      <c r="H25" s="63" t="n">
        <v>0.7</v>
      </c>
      <c r="I25" s="63" t="n">
        <v>0.7</v>
      </c>
      <c r="J25" s="63" t="n">
        <v>0.75</v>
      </c>
      <c r="K25" s="63" t="n">
        <v>0.75</v>
      </c>
      <c r="L25" s="63" t="n">
        <v>0.75</v>
      </c>
      <c r="M25" s="63" t="n">
        <v>0.75</v>
      </c>
    </row>
    <row r="26" customFormat="false" ht="15" hidden="false" customHeight="true" outlineLevel="0" collapsed="false">
      <c r="B26" s="63" t="s">
        <v>247</v>
      </c>
      <c r="C26" s="63" t="s">
        <v>257</v>
      </c>
      <c r="D26" s="63" t="n">
        <v>0.3</v>
      </c>
      <c r="E26" s="63" t="n">
        <v>0.5</v>
      </c>
      <c r="F26" s="63" t="n">
        <v>0.62</v>
      </c>
      <c r="G26" s="63" t="n">
        <v>0.68</v>
      </c>
      <c r="H26" s="63" t="n">
        <v>0.72</v>
      </c>
      <c r="I26" s="63" t="n">
        <v>0.75</v>
      </c>
      <c r="J26" s="63" t="n">
        <v>0.75</v>
      </c>
      <c r="K26" s="63" t="n">
        <v>0.75</v>
      </c>
      <c r="L26" s="63" t="n">
        <v>0.75</v>
      </c>
      <c r="M26" s="63" t="n">
        <v>0.75</v>
      </c>
    </row>
    <row r="27" customFormat="false" ht="15" hidden="false" customHeight="true" outlineLevel="0" collapsed="false">
      <c r="B27" s="63" t="s">
        <v>248</v>
      </c>
      <c r="C27" s="63" t="s">
        <v>257</v>
      </c>
      <c r="D27" s="63" t="n">
        <v>0.25</v>
      </c>
      <c r="E27" s="63" t="n">
        <v>0.4</v>
      </c>
      <c r="F27" s="63" t="n">
        <v>0.55</v>
      </c>
      <c r="G27" s="63" t="n">
        <v>0.65</v>
      </c>
      <c r="H27" s="63" t="n">
        <v>0.7</v>
      </c>
      <c r="I27" s="63" t="n">
        <v>0.72</v>
      </c>
      <c r="J27" s="63" t="n">
        <v>0.75</v>
      </c>
      <c r="K27" s="63" t="n">
        <v>0.75</v>
      </c>
      <c r="L27" s="63" t="n">
        <v>0.75</v>
      </c>
      <c r="M27" s="63" t="n">
        <v>0.75</v>
      </c>
    </row>
    <row r="28" customFormat="false" ht="15" hidden="false" customHeight="true" outlineLevel="0" collapsed="false">
      <c r="B28" s="63" t="s">
        <v>249</v>
      </c>
      <c r="C28" s="63" t="s">
        <v>257</v>
      </c>
      <c r="D28" s="63" t="n">
        <v>0.35</v>
      </c>
      <c r="E28" s="63" t="n">
        <v>0.55</v>
      </c>
      <c r="F28" s="63" t="n">
        <v>0.65</v>
      </c>
      <c r="G28" s="63" t="n">
        <v>0.7</v>
      </c>
      <c r="H28" s="63" t="n">
        <v>0.75</v>
      </c>
      <c r="I28" s="63" t="n">
        <v>0.78</v>
      </c>
      <c r="J28" s="63" t="n">
        <v>0.8</v>
      </c>
      <c r="K28" s="63" t="n">
        <v>0.8</v>
      </c>
      <c r="L28" s="63" t="n">
        <v>0.8</v>
      </c>
      <c r="M28" s="63" t="n">
        <v>0.8</v>
      </c>
    </row>
    <row r="29" customFormat="false" ht="15" hidden="false" customHeight="true" outlineLevel="0" collapsed="false">
      <c r="B29" s="63" t="s">
        <v>250</v>
      </c>
      <c r="C29" s="63" t="s">
        <v>257</v>
      </c>
      <c r="D29" s="63" t="n">
        <v>0.15</v>
      </c>
      <c r="E29" s="63" t="n">
        <v>0.3</v>
      </c>
      <c r="F29" s="63" t="n">
        <v>0.45</v>
      </c>
      <c r="G29" s="63" t="n">
        <v>0.55</v>
      </c>
      <c r="H29" s="63" t="n">
        <v>0.62</v>
      </c>
      <c r="I29" s="63" t="n">
        <v>0.68</v>
      </c>
      <c r="J29" s="63" t="n">
        <v>0.7</v>
      </c>
      <c r="K29" s="63" t="n">
        <v>0.72</v>
      </c>
      <c r="L29" s="63" t="n">
        <v>0.72</v>
      </c>
      <c r="M29" s="63" t="n">
        <v>0.72</v>
      </c>
    </row>
    <row r="32" customFormat="false" ht="15" hidden="false" customHeight="true" outlineLevel="0" collapsed="false">
      <c r="B32" s="60" t="s">
        <v>258</v>
      </c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</row>
    <row r="33" customFormat="false" ht="15" hidden="false" customHeight="true" outlineLevel="0" collapsed="false">
      <c r="B33" s="61" t="s">
        <v>217</v>
      </c>
      <c r="C33" s="61" t="s">
        <v>259</v>
      </c>
      <c r="D33" s="61" t="s">
        <v>30</v>
      </c>
      <c r="E33" s="61" t="s">
        <v>25</v>
      </c>
      <c r="F33" s="61" t="s">
        <v>44</v>
      </c>
      <c r="G33" s="61" t="s">
        <v>39</v>
      </c>
      <c r="H33" s="61" t="s">
        <v>58</v>
      </c>
      <c r="I33" s="61" t="s">
        <v>59</v>
      </c>
      <c r="J33" s="61" t="s">
        <v>60</v>
      </c>
      <c r="K33" s="61" t="s">
        <v>61</v>
      </c>
      <c r="L33" s="61" t="s">
        <v>62</v>
      </c>
      <c r="M33" s="61" t="s">
        <v>63</v>
      </c>
    </row>
    <row r="34" customFormat="false" ht="15" hidden="false" customHeight="true" outlineLevel="0" collapsed="false">
      <c r="B34" s="64" t="s">
        <v>246</v>
      </c>
      <c r="C34" s="64" t="s">
        <v>260</v>
      </c>
      <c r="D34" s="64" t="n">
        <f aca="false">1-D16-D25</f>
        <v>0.25</v>
      </c>
      <c r="E34" s="64" t="n">
        <f aca="false">1-E16-E25</f>
        <v>0.2</v>
      </c>
      <c r="F34" s="64" t="n">
        <f aca="false">1-F16-F25</f>
        <v>0.2</v>
      </c>
      <c r="G34" s="64" t="n">
        <f aca="false">1-G16-G25</f>
        <v>0.2</v>
      </c>
      <c r="H34" s="64" t="n">
        <f aca="false">1-H16-H25</f>
        <v>0.2</v>
      </c>
      <c r="I34" s="64" t="n">
        <f aca="false">1-I16-I25</f>
        <v>0.2</v>
      </c>
      <c r="J34" s="64" t="n">
        <f aca="false">1-J16-J25</f>
        <v>0.2</v>
      </c>
      <c r="K34" s="64" t="n">
        <f aca="false">1-K16-K25</f>
        <v>0.2</v>
      </c>
      <c r="L34" s="64" t="n">
        <f aca="false">1-L16-L25</f>
        <v>0.2</v>
      </c>
      <c r="M34" s="64" t="n">
        <f aca="false">1-M16-M25</f>
        <v>0.2</v>
      </c>
    </row>
    <row r="35" customFormat="false" ht="15" hidden="false" customHeight="true" outlineLevel="0" collapsed="false">
      <c r="B35" s="64" t="s">
        <v>247</v>
      </c>
      <c r="C35" s="64" t="s">
        <v>260</v>
      </c>
      <c r="D35" s="64" t="n">
        <f aca="false">1-D17-D26</f>
        <v>0.25</v>
      </c>
      <c r="E35" s="64" t="n">
        <f aca="false">1-E17-E26</f>
        <v>0.2</v>
      </c>
      <c r="F35" s="64" t="n">
        <f aca="false">1-F17-F26</f>
        <v>0.2</v>
      </c>
      <c r="G35" s="64" t="n">
        <f aca="false">1-G17-G26</f>
        <v>0.2</v>
      </c>
      <c r="H35" s="64" t="n">
        <f aca="false">1-H17-H26</f>
        <v>0.2</v>
      </c>
      <c r="I35" s="64" t="n">
        <f aca="false">1-I17-I26</f>
        <v>0.2</v>
      </c>
      <c r="J35" s="64" t="n">
        <f aca="false">1-J17-J26</f>
        <v>0.2</v>
      </c>
      <c r="K35" s="64" t="n">
        <f aca="false">1-K17-K26</f>
        <v>0.2</v>
      </c>
      <c r="L35" s="64" t="n">
        <f aca="false">1-L17-L26</f>
        <v>0.2</v>
      </c>
      <c r="M35" s="64" t="n">
        <f aca="false">1-M17-M26</f>
        <v>0.2</v>
      </c>
    </row>
    <row r="36" customFormat="false" ht="15" hidden="false" customHeight="true" outlineLevel="0" collapsed="false">
      <c r="B36" s="64" t="s">
        <v>248</v>
      </c>
      <c r="C36" s="64" t="s">
        <v>260</v>
      </c>
      <c r="D36" s="64" t="n">
        <f aca="false">1-D18-D27</f>
        <v>0.4</v>
      </c>
      <c r="E36" s="64" t="n">
        <f aca="false">1-E18-E27</f>
        <v>0.35</v>
      </c>
      <c r="F36" s="64" t="n">
        <f aca="false">1-F18-F27</f>
        <v>0.3</v>
      </c>
      <c r="G36" s="64" t="n">
        <f aca="false">1-G18-G27</f>
        <v>0.25</v>
      </c>
      <c r="H36" s="64" t="n">
        <f aca="false">1-H18-H27</f>
        <v>0.22</v>
      </c>
      <c r="I36" s="64" t="n">
        <f aca="false">1-I18-I27</f>
        <v>0.23</v>
      </c>
      <c r="J36" s="64" t="n">
        <f aca="false">1-J18-J27</f>
        <v>0.2</v>
      </c>
      <c r="K36" s="64" t="n">
        <f aca="false">1-K18-K27</f>
        <v>0.2</v>
      </c>
      <c r="L36" s="64" t="n">
        <f aca="false">1-L18-L27</f>
        <v>0.2</v>
      </c>
      <c r="M36" s="64" t="n">
        <f aca="false">1-M18-M27</f>
        <v>0.2</v>
      </c>
    </row>
    <row r="37" customFormat="false" ht="15" hidden="false" customHeight="true" outlineLevel="0" collapsed="false">
      <c r="B37" s="64" t="s">
        <v>249</v>
      </c>
      <c r="C37" s="64" t="s">
        <v>260</v>
      </c>
      <c r="D37" s="64" t="n">
        <f aca="false">1-D19-D28</f>
        <v>0.25</v>
      </c>
      <c r="E37" s="64" t="n">
        <f aca="false">1-E19-E28</f>
        <v>0.2</v>
      </c>
      <c r="F37" s="64" t="n">
        <f aca="false">1-F19-F28</f>
        <v>0.2</v>
      </c>
      <c r="G37" s="64" t="n">
        <f aca="false">1-G19-G28</f>
        <v>0.2</v>
      </c>
      <c r="H37" s="64" t="n">
        <f aca="false">1-H19-H28</f>
        <v>0.17</v>
      </c>
      <c r="I37" s="64" t="n">
        <f aca="false">1-I19-I28</f>
        <v>0.17</v>
      </c>
      <c r="J37" s="64" t="n">
        <f aca="false">1-J19-J28</f>
        <v>0.15</v>
      </c>
      <c r="K37" s="64" t="n">
        <f aca="false">1-K19-K28</f>
        <v>0.15</v>
      </c>
      <c r="L37" s="64" t="n">
        <f aca="false">1-L19-L28</f>
        <v>0.15</v>
      </c>
      <c r="M37" s="64" t="n">
        <f aca="false">1-M19-M28</f>
        <v>0.15</v>
      </c>
    </row>
    <row r="38" customFormat="false" ht="15" hidden="false" customHeight="true" outlineLevel="0" collapsed="false">
      <c r="B38" s="64" t="s">
        <v>250</v>
      </c>
      <c r="C38" s="64" t="s">
        <v>260</v>
      </c>
      <c r="D38" s="64" t="n">
        <f aca="false">1-D20-D29</f>
        <v>0.2</v>
      </c>
      <c r="E38" s="64" t="n">
        <f aca="false">1-E20-E29</f>
        <v>0.2</v>
      </c>
      <c r="F38" s="64" t="n">
        <f aca="false">1-F20-F29</f>
        <v>0.2</v>
      </c>
      <c r="G38" s="64" t="n">
        <f aca="false">1-G20-G29</f>
        <v>0.2</v>
      </c>
      <c r="H38" s="64" t="n">
        <f aca="false">1-H20-H29</f>
        <v>0.2</v>
      </c>
      <c r="I38" s="64" t="n">
        <f aca="false">1-I20-I29</f>
        <v>0.2</v>
      </c>
      <c r="J38" s="64" t="n">
        <f aca="false">1-J20-J29</f>
        <v>0.2</v>
      </c>
      <c r="K38" s="64" t="n">
        <f aca="false">1-K20-K29</f>
        <v>0.2</v>
      </c>
      <c r="L38" s="64" t="n">
        <f aca="false">1-L20-L29</f>
        <v>0.2</v>
      </c>
      <c r="M38" s="64" t="n">
        <f aca="false">1-M20-M29</f>
        <v>0.2</v>
      </c>
    </row>
    <row r="41" customFormat="false" ht="15" hidden="false" customHeight="true" outlineLevel="0" collapsed="false">
      <c r="B41" s="60" t="s">
        <v>261</v>
      </c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</row>
    <row r="42" customFormat="false" ht="15" hidden="false" customHeight="true" outlineLevel="0" collapsed="false">
      <c r="B42" s="61" t="s">
        <v>217</v>
      </c>
      <c r="C42" s="61" t="s">
        <v>262</v>
      </c>
      <c r="D42" s="61" t="s">
        <v>30</v>
      </c>
      <c r="E42" s="61" t="s">
        <v>25</v>
      </c>
      <c r="F42" s="61" t="s">
        <v>44</v>
      </c>
      <c r="G42" s="61" t="s">
        <v>39</v>
      </c>
      <c r="H42" s="61" t="s">
        <v>58</v>
      </c>
      <c r="I42" s="61" t="s">
        <v>59</v>
      </c>
      <c r="J42" s="61" t="s">
        <v>60</v>
      </c>
      <c r="K42" s="61" t="s">
        <v>61</v>
      </c>
      <c r="L42" s="61" t="s">
        <v>62</v>
      </c>
      <c r="M42" s="61" t="s">
        <v>63</v>
      </c>
    </row>
    <row r="43" customFormat="false" ht="15" hidden="false" customHeight="true" outlineLevel="0" collapsed="false">
      <c r="B43" s="65" t="s">
        <v>246</v>
      </c>
      <c r="C43" s="65" t="s">
        <v>263</v>
      </c>
      <c r="D43" s="65" t="n">
        <f aca="false">D16+D25+D34</f>
        <v>1</v>
      </c>
      <c r="E43" s="65" t="n">
        <f aca="false">E16+E25+E34</f>
        <v>1</v>
      </c>
      <c r="F43" s="65" t="n">
        <f aca="false">F16+F25+F34</f>
        <v>1</v>
      </c>
      <c r="G43" s="65" t="n">
        <f aca="false">G16+G25+G34</f>
        <v>1</v>
      </c>
      <c r="H43" s="65" t="n">
        <f aca="false">H16+H25+H34</f>
        <v>1</v>
      </c>
      <c r="I43" s="65" t="n">
        <f aca="false">I16+I25+I34</f>
        <v>1</v>
      </c>
      <c r="J43" s="65" t="n">
        <f aca="false">J16+J25+J34</f>
        <v>1</v>
      </c>
      <c r="K43" s="65" t="n">
        <f aca="false">K16+K25+K34</f>
        <v>1</v>
      </c>
      <c r="L43" s="65" t="n">
        <f aca="false">L16+L25+L34</f>
        <v>1</v>
      </c>
      <c r="M43" s="65" t="n">
        <f aca="false">M16+M25+M34</f>
        <v>1</v>
      </c>
    </row>
    <row r="44" customFormat="false" ht="15" hidden="false" customHeight="true" outlineLevel="0" collapsed="false">
      <c r="B44" s="65" t="s">
        <v>247</v>
      </c>
      <c r="C44" s="65" t="s">
        <v>263</v>
      </c>
      <c r="D44" s="65" t="n">
        <f aca="false">D17+D26+D35</f>
        <v>1</v>
      </c>
      <c r="E44" s="65" t="n">
        <f aca="false">E17+E26+E35</f>
        <v>1</v>
      </c>
      <c r="F44" s="65" t="n">
        <f aca="false">F17+F26+F35</f>
        <v>1</v>
      </c>
      <c r="G44" s="65" t="n">
        <f aca="false">G17+G26+G35</f>
        <v>1</v>
      </c>
      <c r="H44" s="65" t="n">
        <f aca="false">H17+H26+H35</f>
        <v>1</v>
      </c>
      <c r="I44" s="65" t="n">
        <f aca="false">I17+I26+I35</f>
        <v>1</v>
      </c>
      <c r="J44" s="65" t="n">
        <f aca="false">J17+J26+J35</f>
        <v>1</v>
      </c>
      <c r="K44" s="65" t="n">
        <f aca="false">K17+K26+K35</f>
        <v>1</v>
      </c>
      <c r="L44" s="65" t="n">
        <f aca="false">L17+L26+L35</f>
        <v>1</v>
      </c>
      <c r="M44" s="65" t="n">
        <f aca="false">M17+M26+M35</f>
        <v>1</v>
      </c>
    </row>
    <row r="45" customFormat="false" ht="15" hidden="false" customHeight="true" outlineLevel="0" collapsed="false">
      <c r="B45" s="65" t="s">
        <v>248</v>
      </c>
      <c r="C45" s="65" t="s">
        <v>263</v>
      </c>
      <c r="D45" s="65" t="n">
        <f aca="false">D18+D27+D36</f>
        <v>1</v>
      </c>
      <c r="E45" s="65" t="n">
        <f aca="false">E18+E27+E36</f>
        <v>1</v>
      </c>
      <c r="F45" s="65" t="n">
        <f aca="false">F18+F27+F36</f>
        <v>1</v>
      </c>
      <c r="G45" s="65" t="n">
        <f aca="false">G18+G27+G36</f>
        <v>1</v>
      </c>
      <c r="H45" s="65" t="n">
        <f aca="false">H18+H27+H36</f>
        <v>1</v>
      </c>
      <c r="I45" s="65" t="n">
        <f aca="false">I18+I27+I36</f>
        <v>1</v>
      </c>
      <c r="J45" s="65" t="n">
        <f aca="false">J18+J27+J36</f>
        <v>1</v>
      </c>
      <c r="K45" s="65" t="n">
        <f aca="false">K18+K27+K36</f>
        <v>1</v>
      </c>
      <c r="L45" s="65" t="n">
        <f aca="false">L18+L27+L36</f>
        <v>1</v>
      </c>
      <c r="M45" s="65" t="n">
        <f aca="false">M18+M27+M36</f>
        <v>1</v>
      </c>
    </row>
    <row r="46" customFormat="false" ht="15" hidden="false" customHeight="true" outlineLevel="0" collapsed="false">
      <c r="B46" s="65" t="s">
        <v>249</v>
      </c>
      <c r="C46" s="65" t="s">
        <v>263</v>
      </c>
      <c r="D46" s="65" t="n">
        <f aca="false">D19+D28+D37</f>
        <v>1</v>
      </c>
      <c r="E46" s="65" t="n">
        <f aca="false">E19+E28+E37</f>
        <v>1</v>
      </c>
      <c r="F46" s="65" t="n">
        <f aca="false">F19+F28+F37</f>
        <v>1</v>
      </c>
      <c r="G46" s="65" t="n">
        <f aca="false">G19+G28+G37</f>
        <v>1</v>
      </c>
      <c r="H46" s="65" t="n">
        <f aca="false">H19+H28+H37</f>
        <v>1</v>
      </c>
      <c r="I46" s="65" t="n">
        <f aca="false">I19+I28+I37</f>
        <v>1</v>
      </c>
      <c r="J46" s="65" t="n">
        <f aca="false">J19+J28+J37</f>
        <v>1</v>
      </c>
      <c r="K46" s="65" t="n">
        <f aca="false">K19+K28+K37</f>
        <v>1</v>
      </c>
      <c r="L46" s="65" t="n">
        <f aca="false">L19+L28+L37</f>
        <v>1</v>
      </c>
      <c r="M46" s="65" t="n">
        <f aca="false">M19+M28+M37</f>
        <v>1</v>
      </c>
    </row>
    <row r="47" customFormat="false" ht="15" hidden="false" customHeight="true" outlineLevel="0" collapsed="false">
      <c r="B47" s="65" t="s">
        <v>250</v>
      </c>
      <c r="C47" s="65" t="s">
        <v>263</v>
      </c>
      <c r="D47" s="65" t="n">
        <f aca="false">D20+D29+D38</f>
        <v>1</v>
      </c>
      <c r="E47" s="65" t="n">
        <f aca="false">E20+E29+E38</f>
        <v>1</v>
      </c>
      <c r="F47" s="65" t="n">
        <f aca="false">F20+F29+F38</f>
        <v>1</v>
      </c>
      <c r="G47" s="65" t="n">
        <f aca="false">G20+G29+G38</f>
        <v>1</v>
      </c>
      <c r="H47" s="65" t="n">
        <f aca="false">H20+H29+H38</f>
        <v>1</v>
      </c>
      <c r="I47" s="65" t="n">
        <f aca="false">I20+I29+I38</f>
        <v>1</v>
      </c>
      <c r="J47" s="65" t="n">
        <f aca="false">J20+J29+J38</f>
        <v>1</v>
      </c>
      <c r="K47" s="65" t="n">
        <f aca="false">K20+K29+K38</f>
        <v>1</v>
      </c>
      <c r="L47" s="65" t="n">
        <f aca="false">L20+L29+L38</f>
        <v>1</v>
      </c>
      <c r="M47" s="65" t="n">
        <f aca="false">M20+M29+M38</f>
        <v>1</v>
      </c>
    </row>
    <row r="49" customFormat="false" ht="15" hidden="false" customHeight="true" outlineLevel="0" collapsed="false">
      <c r="B49" s="66" t="s">
        <v>264</v>
      </c>
      <c r="C49" s="66" t="s">
        <v>265</v>
      </c>
      <c r="D49" s="66" t="str">
        <f aca="false">IF(AND(D43=1,D44=1,D45=1,D46=1,D47=1),"OK","CHECK")</f>
        <v>OK</v>
      </c>
      <c r="E49" s="66" t="str">
        <f aca="false">IF(AND(E43=1,E44=1,E45=1,E46=1,E47=1),"OK","CHECK")</f>
        <v>OK</v>
      </c>
      <c r="F49" s="66" t="str">
        <f aca="false">IF(AND(F43=1,F44=1,F45=1,F46=1,F47=1),"OK","CHECK")</f>
        <v>OK</v>
      </c>
      <c r="G49" s="66" t="str">
        <f aca="false">IF(AND(G43=1,G44=1,G45=1,G46=1,G47=1),"OK","CHECK")</f>
        <v>OK</v>
      </c>
      <c r="H49" s="66" t="str">
        <f aca="false">IF(AND(H43=1,H44=1,H45=1,H46=1,H47=1),"OK","CHECK")</f>
        <v>OK</v>
      </c>
      <c r="I49" s="66" t="str">
        <f aca="false">IF(AND(I43=1,I44=1,I45=1,I46=1,I47=1),"OK","CHECK")</f>
        <v>OK</v>
      </c>
      <c r="J49" s="66" t="str">
        <f aca="false">IF(AND(J43=1,J44=1,J45=1,J46=1,J47=1),"OK","CHECK")</f>
        <v>OK</v>
      </c>
      <c r="K49" s="66" t="str">
        <f aca="false">IF(AND(K43=1,K44=1,K45=1,K46=1,K47=1),"OK","CHECK")</f>
        <v>OK</v>
      </c>
      <c r="L49" s="66" t="str">
        <f aca="false">IF(AND(L43=1,L44=1,L45=1,L46=1,L47=1),"OK","CHECK")</f>
        <v>OK</v>
      </c>
      <c r="M49" s="66" t="str">
        <f aca="false">IF(AND(M43=1,M44=1,M45=1,M46=1,M47=1),"OK","CHECK")</f>
        <v>OK</v>
      </c>
    </row>
    <row r="52" customFormat="false" ht="15" hidden="false" customHeight="true" outlineLevel="0" collapsed="false">
      <c r="B52" s="60" t="s">
        <v>266</v>
      </c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</row>
    <row r="53" customFormat="false" ht="15" hidden="false" customHeight="true" outlineLevel="0" collapsed="false">
      <c r="B53" s="61" t="s">
        <v>217</v>
      </c>
      <c r="C53" s="61" t="s">
        <v>259</v>
      </c>
      <c r="D53" s="61" t="s">
        <v>30</v>
      </c>
      <c r="E53" s="61" t="s">
        <v>25</v>
      </c>
      <c r="F53" s="61" t="s">
        <v>44</v>
      </c>
      <c r="G53" s="61" t="s">
        <v>39</v>
      </c>
      <c r="H53" s="61" t="s">
        <v>58</v>
      </c>
      <c r="I53" s="61" t="s">
        <v>59</v>
      </c>
      <c r="J53" s="61" t="s">
        <v>60</v>
      </c>
      <c r="K53" s="61" t="s">
        <v>61</v>
      </c>
      <c r="L53" s="61" t="s">
        <v>62</v>
      </c>
      <c r="M53" s="61" t="s">
        <v>63</v>
      </c>
    </row>
    <row r="54" customFormat="false" ht="15" hidden="false" customHeight="true" outlineLevel="0" collapsed="false">
      <c r="B54" s="36" t="s">
        <v>246</v>
      </c>
      <c r="C54" s="36" t="s">
        <v>267</v>
      </c>
      <c r="D54" s="36" t="n">
        <f aca="false">D7*D16</f>
        <v>22.5</v>
      </c>
      <c r="E54" s="36" t="n">
        <f aca="false">E7*E16</f>
        <v>15.75</v>
      </c>
      <c r="F54" s="36" t="n">
        <f aca="false">F7*F16</f>
        <v>5</v>
      </c>
      <c r="G54" s="36" t="n">
        <f aca="false">G7*G16</f>
        <v>2.7</v>
      </c>
      <c r="H54" s="36" t="n">
        <f aca="false">H7*H16</f>
        <v>0.9</v>
      </c>
      <c r="I54" s="36" t="n">
        <f aca="false">I7*I16</f>
        <v>0.45</v>
      </c>
      <c r="J54" s="36" t="n">
        <f aca="false">J7*J16</f>
        <v>0.125</v>
      </c>
      <c r="K54" s="36" t="n">
        <f aca="false">K7*K16</f>
        <v>0.125</v>
      </c>
      <c r="L54" s="36" t="n">
        <f aca="false">L7*L16</f>
        <v>0.125</v>
      </c>
      <c r="M54" s="36" t="n">
        <f aca="false">M7*M16</f>
        <v>0</v>
      </c>
    </row>
    <row r="55" customFormat="false" ht="15" hidden="false" customHeight="true" outlineLevel="0" collapsed="false">
      <c r="B55" s="36" t="s">
        <v>247</v>
      </c>
      <c r="C55" s="36" t="s">
        <v>267</v>
      </c>
      <c r="D55" s="36" t="n">
        <f aca="false">D8*D17</f>
        <v>12.6</v>
      </c>
      <c r="E55" s="36" t="n">
        <f aca="false">E8*E17</f>
        <v>9</v>
      </c>
      <c r="F55" s="36" t="n">
        <f aca="false">F8*F17</f>
        <v>2.34</v>
      </c>
      <c r="G55" s="36" t="n">
        <f aca="false">G8*G17</f>
        <v>0.96</v>
      </c>
      <c r="H55" s="36" t="n">
        <f aca="false">H8*H17</f>
        <v>0.4</v>
      </c>
      <c r="I55" s="36" t="n">
        <f aca="false">I8*I17</f>
        <v>0.15</v>
      </c>
      <c r="J55" s="36" t="n">
        <f aca="false">J8*J17</f>
        <v>0.075</v>
      </c>
      <c r="K55" s="36" t="n">
        <f aca="false">K8*K17</f>
        <v>0.075</v>
      </c>
      <c r="L55" s="36" t="n">
        <f aca="false">L8*L17</f>
        <v>0</v>
      </c>
      <c r="M55" s="36" t="n">
        <f aca="false">M8*M17</f>
        <v>0</v>
      </c>
    </row>
    <row r="56" customFormat="false" ht="15" hidden="false" customHeight="true" outlineLevel="0" collapsed="false">
      <c r="B56" s="36" t="s">
        <v>248</v>
      </c>
      <c r="C56" s="36" t="s">
        <v>267</v>
      </c>
      <c r="D56" s="36" t="n">
        <f aca="false">D9*D18</f>
        <v>4.2</v>
      </c>
      <c r="E56" s="36" t="n">
        <f aca="false">E9*E18</f>
        <v>7</v>
      </c>
      <c r="F56" s="36" t="n">
        <f aca="false">F9*F18</f>
        <v>2.55</v>
      </c>
      <c r="G56" s="36" t="n">
        <f aca="false">G9*G18</f>
        <v>1.2</v>
      </c>
      <c r="H56" s="36" t="n">
        <f aca="false">H9*H18</f>
        <v>0.56</v>
      </c>
      <c r="I56" s="36" t="n">
        <f aca="false">I9*I18</f>
        <v>0.175</v>
      </c>
      <c r="J56" s="36" t="n">
        <f aca="false">J9*J18</f>
        <v>0.125</v>
      </c>
      <c r="K56" s="36" t="n">
        <f aca="false">K9*K18</f>
        <v>0.065</v>
      </c>
      <c r="L56" s="36" t="n">
        <f aca="false">L9*L18</f>
        <v>0.065</v>
      </c>
      <c r="M56" s="36" t="n">
        <f aca="false">M9*M18</f>
        <v>0.065</v>
      </c>
    </row>
    <row r="57" customFormat="false" ht="15" hidden="false" customHeight="true" outlineLevel="0" collapsed="false">
      <c r="B57" s="36" t="s">
        <v>249</v>
      </c>
      <c r="C57" s="36" t="s">
        <v>267</v>
      </c>
      <c r="D57" s="36" t="n">
        <f aca="false">D10*D19</f>
        <v>2.4</v>
      </c>
      <c r="E57" s="36" t="n">
        <f aca="false">E10*E19</f>
        <v>10.5</v>
      </c>
      <c r="F57" s="36" t="n">
        <f aca="false">F10*F19</f>
        <v>2.55</v>
      </c>
      <c r="G57" s="36" t="n">
        <f aca="false">G10*G19</f>
        <v>0.9</v>
      </c>
      <c r="H57" s="36" t="n">
        <f aca="false">H10*H19</f>
        <v>0.4</v>
      </c>
      <c r="I57" s="36" t="n">
        <f aca="false">I10*I19</f>
        <v>0.125</v>
      </c>
      <c r="J57" s="36" t="n">
        <f aca="false">J10*J19</f>
        <v>0.065</v>
      </c>
      <c r="K57" s="36" t="n">
        <f aca="false">K10*K19</f>
        <v>0.065</v>
      </c>
      <c r="L57" s="36" t="n">
        <f aca="false">L10*L19</f>
        <v>0.065</v>
      </c>
      <c r="M57" s="36" t="n">
        <f aca="false">M10*M19</f>
        <v>0</v>
      </c>
    </row>
    <row r="58" customFormat="false" ht="15" hidden="false" customHeight="true" outlineLevel="0" collapsed="false">
      <c r="B58" s="36" t="s">
        <v>250</v>
      </c>
      <c r="C58" s="36" t="s">
        <v>267</v>
      </c>
      <c r="D58" s="36" t="n">
        <f aca="false">D11*D20</f>
        <v>6.5</v>
      </c>
      <c r="E58" s="36" t="n">
        <f aca="false">E11*E20</f>
        <v>32.5</v>
      </c>
      <c r="F58" s="36" t="n">
        <f aca="false">F11*F20</f>
        <v>12.25</v>
      </c>
      <c r="G58" s="36" t="n">
        <f aca="false">G11*G20</f>
        <v>5.5</v>
      </c>
      <c r="H58" s="36" t="n">
        <f aca="false">H11*H20</f>
        <v>2.16</v>
      </c>
      <c r="I58" s="36" t="n">
        <f aca="false">I11*I20</f>
        <v>0.84</v>
      </c>
      <c r="J58" s="36" t="n">
        <f aca="false">J11*J20</f>
        <v>0.35</v>
      </c>
      <c r="K58" s="36" t="n">
        <f aca="false">K11*K20</f>
        <v>0.144</v>
      </c>
      <c r="L58" s="36" t="n">
        <f aca="false">L11*L20</f>
        <v>0.144</v>
      </c>
      <c r="M58" s="36" t="n">
        <f aca="false">M11*M20</f>
        <v>0.144</v>
      </c>
    </row>
    <row r="60" customFormat="false" ht="15" hidden="false" customHeight="true" outlineLevel="0" collapsed="false">
      <c r="B60" s="62" t="s">
        <v>268</v>
      </c>
      <c r="C60" s="62"/>
      <c r="D60" s="62" t="n">
        <f aca="false">SUM(D54:D58)</f>
        <v>48.2</v>
      </c>
      <c r="E60" s="62" t="n">
        <f aca="false">SUM(E54:E58)</f>
        <v>74.75</v>
      </c>
      <c r="F60" s="62" t="n">
        <f aca="false">SUM(F54:F58)</f>
        <v>24.69</v>
      </c>
      <c r="G60" s="62" t="n">
        <f aca="false">SUM(G54:G58)</f>
        <v>11.26</v>
      </c>
      <c r="H60" s="62" t="n">
        <f aca="false">SUM(H54:H58)</f>
        <v>4.42</v>
      </c>
      <c r="I60" s="62" t="n">
        <f aca="false">SUM(I54:I58)</f>
        <v>1.74</v>
      </c>
      <c r="J60" s="62" t="n">
        <f aca="false">SUM(J54:J58)</f>
        <v>0.74</v>
      </c>
      <c r="K60" s="62" t="n">
        <f aca="false">SUM(K54:K58)</f>
        <v>0.474</v>
      </c>
      <c r="L60" s="62" t="n">
        <f aca="false">SUM(L54:L58)</f>
        <v>0.399</v>
      </c>
      <c r="M60" s="62" t="n">
        <f aca="false">SUM(M54:M58)</f>
        <v>0.209</v>
      </c>
    </row>
    <row r="63" customFormat="false" ht="15" hidden="false" customHeight="true" outlineLevel="0" collapsed="false">
      <c r="B63" s="60" t="s">
        <v>269</v>
      </c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</row>
    <row r="64" customFormat="false" ht="15" hidden="false" customHeight="true" outlineLevel="0" collapsed="false">
      <c r="B64" s="61" t="s">
        <v>217</v>
      </c>
      <c r="C64" s="61" t="s">
        <v>259</v>
      </c>
      <c r="D64" s="61" t="s">
        <v>30</v>
      </c>
      <c r="E64" s="61" t="s">
        <v>25</v>
      </c>
      <c r="F64" s="61" t="s">
        <v>44</v>
      </c>
      <c r="G64" s="61" t="s">
        <v>39</v>
      </c>
      <c r="H64" s="61" t="s">
        <v>58</v>
      </c>
      <c r="I64" s="61" t="s">
        <v>59</v>
      </c>
      <c r="J64" s="61" t="s">
        <v>60</v>
      </c>
      <c r="K64" s="61" t="s">
        <v>61</v>
      </c>
      <c r="L64" s="61" t="s">
        <v>62</v>
      </c>
      <c r="M64" s="61" t="s">
        <v>63</v>
      </c>
    </row>
    <row r="65" customFormat="false" ht="15" hidden="false" customHeight="true" outlineLevel="0" collapsed="false">
      <c r="B65" s="36" t="s">
        <v>246</v>
      </c>
      <c r="C65" s="36" t="s">
        <v>270</v>
      </c>
      <c r="D65" s="36" t="n">
        <f aca="false">D7*D25</f>
        <v>11.25</v>
      </c>
      <c r="E65" s="36" t="n">
        <f aca="false">E7*E25</f>
        <v>20.25</v>
      </c>
      <c r="F65" s="36" t="n">
        <f aca="false">F7*F25</f>
        <v>15</v>
      </c>
      <c r="G65" s="36" t="n">
        <f aca="false">G7*G25</f>
        <v>11.7</v>
      </c>
      <c r="H65" s="36" t="n">
        <f aca="false">H7*H25</f>
        <v>6.3</v>
      </c>
      <c r="I65" s="36" t="n">
        <f aca="false">I7*I25</f>
        <v>3.15</v>
      </c>
      <c r="J65" s="36" t="n">
        <f aca="false">J7*J25</f>
        <v>1.875</v>
      </c>
      <c r="K65" s="36" t="n">
        <f aca="false">K7*K25</f>
        <v>1.875</v>
      </c>
      <c r="L65" s="36" t="n">
        <f aca="false">L7*L25</f>
        <v>1.875</v>
      </c>
      <c r="M65" s="36" t="n">
        <f aca="false">M7*M25</f>
        <v>0</v>
      </c>
    </row>
    <row r="66" customFormat="false" ht="15" hidden="false" customHeight="true" outlineLevel="0" collapsed="false">
      <c r="B66" s="36" t="s">
        <v>247</v>
      </c>
      <c r="C66" s="36" t="s">
        <v>270</v>
      </c>
      <c r="D66" s="36" t="n">
        <f aca="false">D8*D26</f>
        <v>8.4</v>
      </c>
      <c r="E66" s="36" t="n">
        <f aca="false">E8*E26</f>
        <v>15</v>
      </c>
      <c r="F66" s="36" t="n">
        <f aca="false">F8*F26</f>
        <v>8.06</v>
      </c>
      <c r="G66" s="36" t="n">
        <f aca="false">G8*G26</f>
        <v>5.44</v>
      </c>
      <c r="H66" s="36" t="n">
        <f aca="false">H8*H26</f>
        <v>3.6</v>
      </c>
      <c r="I66" s="36" t="n">
        <f aca="false">I8*I26</f>
        <v>2.25</v>
      </c>
      <c r="J66" s="36" t="n">
        <f aca="false">J8*J26</f>
        <v>1.125</v>
      </c>
      <c r="K66" s="36" t="n">
        <f aca="false">K8*K26</f>
        <v>1.125</v>
      </c>
      <c r="L66" s="36" t="n">
        <f aca="false">L8*L26</f>
        <v>0</v>
      </c>
      <c r="M66" s="36" t="n">
        <f aca="false">M8*M26</f>
        <v>0</v>
      </c>
    </row>
    <row r="67" customFormat="false" ht="15" hidden="false" customHeight="true" outlineLevel="0" collapsed="false">
      <c r="B67" s="36" t="s">
        <v>248</v>
      </c>
      <c r="C67" s="36" t="s">
        <v>270</v>
      </c>
      <c r="D67" s="36" t="n">
        <f aca="false">D9*D27</f>
        <v>3</v>
      </c>
      <c r="E67" s="36" t="n">
        <f aca="false">E9*E27</f>
        <v>11.2</v>
      </c>
      <c r="F67" s="36" t="n">
        <f aca="false">F9*F27</f>
        <v>9.35</v>
      </c>
      <c r="G67" s="36" t="n">
        <f aca="false">G9*G27</f>
        <v>7.8</v>
      </c>
      <c r="H67" s="36" t="n">
        <f aca="false">H9*H27</f>
        <v>4.9</v>
      </c>
      <c r="I67" s="36" t="n">
        <f aca="false">I9*I27</f>
        <v>2.52</v>
      </c>
      <c r="J67" s="36" t="n">
        <f aca="false">J9*J27</f>
        <v>1.875</v>
      </c>
      <c r="K67" s="36" t="n">
        <f aca="false">K9*K27</f>
        <v>0.975</v>
      </c>
      <c r="L67" s="36" t="n">
        <f aca="false">L9*L27</f>
        <v>0.975</v>
      </c>
      <c r="M67" s="36" t="n">
        <f aca="false">M9*M27</f>
        <v>0.975</v>
      </c>
    </row>
    <row r="68" customFormat="false" ht="15" hidden="false" customHeight="true" outlineLevel="0" collapsed="false">
      <c r="B68" s="36" t="s">
        <v>249</v>
      </c>
      <c r="C68" s="36" t="s">
        <v>270</v>
      </c>
      <c r="D68" s="36" t="n">
        <f aca="false">D10*D28</f>
        <v>2.1</v>
      </c>
      <c r="E68" s="36" t="n">
        <f aca="false">E10*E28</f>
        <v>23.1</v>
      </c>
      <c r="F68" s="36" t="n">
        <f aca="false">F10*F28</f>
        <v>11.05</v>
      </c>
      <c r="G68" s="36" t="n">
        <f aca="false">G10*G28</f>
        <v>6.3</v>
      </c>
      <c r="H68" s="36" t="n">
        <f aca="false">H10*H28</f>
        <v>3.75</v>
      </c>
      <c r="I68" s="36" t="n">
        <f aca="false">I10*I28</f>
        <v>1.95</v>
      </c>
      <c r="J68" s="36" t="n">
        <f aca="false">J10*J28</f>
        <v>1.04</v>
      </c>
      <c r="K68" s="36" t="n">
        <f aca="false">K10*K28</f>
        <v>1.04</v>
      </c>
      <c r="L68" s="36" t="n">
        <f aca="false">L10*L28</f>
        <v>1.04</v>
      </c>
      <c r="M68" s="36" t="n">
        <f aca="false">M10*M28</f>
        <v>0</v>
      </c>
    </row>
    <row r="69" customFormat="false" ht="15" hidden="false" customHeight="true" outlineLevel="0" collapsed="false">
      <c r="B69" s="36" t="s">
        <v>250</v>
      </c>
      <c r="C69" s="36" t="s">
        <v>270</v>
      </c>
      <c r="D69" s="36" t="n">
        <f aca="false">D11*D29</f>
        <v>1.5</v>
      </c>
      <c r="E69" s="36" t="n">
        <f aca="false">E11*E29</f>
        <v>19.5</v>
      </c>
      <c r="F69" s="36" t="n">
        <f aca="false">F11*F29</f>
        <v>15.75</v>
      </c>
      <c r="G69" s="36" t="n">
        <f aca="false">G11*G29</f>
        <v>12.1</v>
      </c>
      <c r="H69" s="36" t="n">
        <f aca="false">H11*H29</f>
        <v>7.44</v>
      </c>
      <c r="I69" s="36" t="n">
        <f aca="false">I11*I29</f>
        <v>4.76</v>
      </c>
      <c r="J69" s="36" t="n">
        <f aca="false">J11*J29</f>
        <v>2.45</v>
      </c>
      <c r="K69" s="36" t="n">
        <f aca="false">K11*K29</f>
        <v>1.296</v>
      </c>
      <c r="L69" s="36" t="n">
        <f aca="false">L11*L29</f>
        <v>1.296</v>
      </c>
      <c r="M69" s="36" t="n">
        <f aca="false">M11*M29</f>
        <v>1.296</v>
      </c>
    </row>
    <row r="71" customFormat="false" ht="15" hidden="false" customHeight="true" outlineLevel="0" collapsed="false">
      <c r="B71" s="62" t="s">
        <v>271</v>
      </c>
      <c r="C71" s="62"/>
      <c r="D71" s="62" t="n">
        <f aca="false">SUM(D65:D69)</f>
        <v>26.25</v>
      </c>
      <c r="E71" s="62" t="n">
        <f aca="false">SUM(E65:E69)</f>
        <v>89.05</v>
      </c>
      <c r="F71" s="62" t="n">
        <f aca="false">SUM(F65:F69)</f>
        <v>59.21</v>
      </c>
      <c r="G71" s="62" t="n">
        <f aca="false">SUM(G65:G69)</f>
        <v>43.34</v>
      </c>
      <c r="H71" s="62" t="n">
        <f aca="false">SUM(H65:H69)</f>
        <v>25.99</v>
      </c>
      <c r="I71" s="62" t="n">
        <f aca="false">SUM(I65:I69)</f>
        <v>14.63</v>
      </c>
      <c r="J71" s="62" t="n">
        <f aca="false">SUM(J65:J69)</f>
        <v>8.365</v>
      </c>
      <c r="K71" s="62" t="n">
        <f aca="false">SUM(K65:K69)</f>
        <v>6.311</v>
      </c>
      <c r="L71" s="62" t="n">
        <f aca="false">SUM(L65:L69)</f>
        <v>5.186</v>
      </c>
      <c r="M71" s="62" t="n">
        <f aca="false">SUM(M65:M69)</f>
        <v>2.271</v>
      </c>
    </row>
    <row r="74" customFormat="false" ht="15" hidden="false" customHeight="true" outlineLevel="0" collapsed="false">
      <c r="B74" s="60" t="s">
        <v>272</v>
      </c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</row>
    <row r="75" customFormat="false" ht="15" hidden="false" customHeight="true" outlineLevel="0" collapsed="false">
      <c r="B75" s="61" t="s">
        <v>217</v>
      </c>
      <c r="C75" s="61" t="s">
        <v>259</v>
      </c>
      <c r="D75" s="61" t="s">
        <v>30</v>
      </c>
      <c r="E75" s="61" t="s">
        <v>25</v>
      </c>
      <c r="F75" s="61" t="s">
        <v>44</v>
      </c>
      <c r="G75" s="61" t="s">
        <v>39</v>
      </c>
      <c r="H75" s="61" t="s">
        <v>58</v>
      </c>
      <c r="I75" s="61" t="s">
        <v>59</v>
      </c>
      <c r="J75" s="61" t="s">
        <v>60</v>
      </c>
      <c r="K75" s="61" t="s">
        <v>61</v>
      </c>
      <c r="L75" s="61" t="s">
        <v>62</v>
      </c>
      <c r="M75" s="61" t="s">
        <v>63</v>
      </c>
    </row>
    <row r="76" customFormat="false" ht="15" hidden="false" customHeight="true" outlineLevel="0" collapsed="false">
      <c r="B76" s="36" t="s">
        <v>246</v>
      </c>
      <c r="C76" s="36" t="s">
        <v>273</v>
      </c>
      <c r="D76" s="36" t="n">
        <f aca="false">D7*D34</f>
        <v>11.25</v>
      </c>
      <c r="E76" s="36" t="n">
        <f aca="false">E7*E34</f>
        <v>9</v>
      </c>
      <c r="F76" s="36" t="n">
        <f aca="false">F7*F34</f>
        <v>5</v>
      </c>
      <c r="G76" s="36" t="n">
        <f aca="false">G7*G34</f>
        <v>3.6</v>
      </c>
      <c r="H76" s="36" t="n">
        <f aca="false">H7*H34</f>
        <v>1.8</v>
      </c>
      <c r="I76" s="36" t="n">
        <f aca="false">I7*I34</f>
        <v>0.9</v>
      </c>
      <c r="J76" s="36" t="n">
        <f aca="false">J7*J34</f>
        <v>0.5</v>
      </c>
      <c r="K76" s="36" t="n">
        <f aca="false">K7*K34</f>
        <v>0.5</v>
      </c>
      <c r="L76" s="36" t="n">
        <f aca="false">L7*L34</f>
        <v>0.5</v>
      </c>
      <c r="M76" s="36" t="n">
        <f aca="false">M7*M34</f>
        <v>0</v>
      </c>
    </row>
    <row r="77" customFormat="false" ht="15" hidden="false" customHeight="true" outlineLevel="0" collapsed="false">
      <c r="B77" s="36" t="s">
        <v>247</v>
      </c>
      <c r="C77" s="36" t="s">
        <v>273</v>
      </c>
      <c r="D77" s="36" t="n">
        <f aca="false">D8*D35</f>
        <v>7</v>
      </c>
      <c r="E77" s="36" t="n">
        <f aca="false">E8*E35</f>
        <v>6</v>
      </c>
      <c r="F77" s="36" t="n">
        <f aca="false">F8*F35</f>
        <v>2.6</v>
      </c>
      <c r="G77" s="36" t="n">
        <f aca="false">G8*G35</f>
        <v>1.6</v>
      </c>
      <c r="H77" s="36" t="n">
        <f aca="false">H8*H35</f>
        <v>1</v>
      </c>
      <c r="I77" s="36" t="n">
        <f aca="false">I8*I35</f>
        <v>0.6</v>
      </c>
      <c r="J77" s="36" t="n">
        <f aca="false">J8*J35</f>
        <v>0.3</v>
      </c>
      <c r="K77" s="36" t="n">
        <f aca="false">K8*K35</f>
        <v>0.3</v>
      </c>
      <c r="L77" s="36" t="n">
        <f aca="false">L8*L35</f>
        <v>0</v>
      </c>
      <c r="M77" s="36" t="n">
        <f aca="false">M8*M35</f>
        <v>0</v>
      </c>
    </row>
    <row r="78" customFormat="false" ht="15" hidden="false" customHeight="true" outlineLevel="0" collapsed="false">
      <c r="B78" s="36" t="s">
        <v>248</v>
      </c>
      <c r="C78" s="36" t="s">
        <v>273</v>
      </c>
      <c r="D78" s="36" t="n">
        <f aca="false">D9*D36</f>
        <v>4.8</v>
      </c>
      <c r="E78" s="36" t="n">
        <f aca="false">E9*E36</f>
        <v>9.8</v>
      </c>
      <c r="F78" s="36" t="n">
        <f aca="false">F9*F36</f>
        <v>5.1</v>
      </c>
      <c r="G78" s="36" t="n">
        <f aca="false">G9*G36</f>
        <v>3</v>
      </c>
      <c r="H78" s="36" t="n">
        <f aca="false">H9*H36</f>
        <v>1.54</v>
      </c>
      <c r="I78" s="36" t="n">
        <f aca="false">I9*I36</f>
        <v>0.805</v>
      </c>
      <c r="J78" s="36" t="n">
        <f aca="false">J9*J36</f>
        <v>0.5</v>
      </c>
      <c r="K78" s="36" t="n">
        <f aca="false">K9*K36</f>
        <v>0.26</v>
      </c>
      <c r="L78" s="36" t="n">
        <f aca="false">L9*L36</f>
        <v>0.26</v>
      </c>
      <c r="M78" s="36" t="n">
        <f aca="false">M9*M36</f>
        <v>0.26</v>
      </c>
    </row>
    <row r="79" customFormat="false" ht="15" hidden="false" customHeight="true" outlineLevel="0" collapsed="false">
      <c r="B79" s="36" t="s">
        <v>249</v>
      </c>
      <c r="C79" s="36" t="s">
        <v>273</v>
      </c>
      <c r="D79" s="36" t="n">
        <f aca="false">D10*D37</f>
        <v>1.5</v>
      </c>
      <c r="E79" s="36" t="n">
        <f aca="false">E10*E37</f>
        <v>8.4</v>
      </c>
      <c r="F79" s="36" t="n">
        <f aca="false">F10*F37</f>
        <v>3.4</v>
      </c>
      <c r="G79" s="36" t="n">
        <f aca="false">G10*G37</f>
        <v>1.8</v>
      </c>
      <c r="H79" s="36" t="n">
        <f aca="false">H10*H37</f>
        <v>0.85</v>
      </c>
      <c r="I79" s="36" t="n">
        <f aca="false">I10*I37</f>
        <v>0.425</v>
      </c>
      <c r="J79" s="36" t="n">
        <f aca="false">J10*J37</f>
        <v>0.195</v>
      </c>
      <c r="K79" s="36" t="n">
        <f aca="false">K10*K37</f>
        <v>0.195</v>
      </c>
      <c r="L79" s="36" t="n">
        <f aca="false">L10*L37</f>
        <v>0.195</v>
      </c>
      <c r="M79" s="36" t="n">
        <f aca="false">M10*M37</f>
        <v>0</v>
      </c>
    </row>
    <row r="80" customFormat="false" ht="15" hidden="false" customHeight="true" outlineLevel="0" collapsed="false">
      <c r="B80" s="36" t="s">
        <v>250</v>
      </c>
      <c r="C80" s="36" t="s">
        <v>273</v>
      </c>
      <c r="D80" s="36" t="n">
        <f aca="false">D11*D38</f>
        <v>2</v>
      </c>
      <c r="E80" s="36" t="n">
        <f aca="false">E11*E38</f>
        <v>13</v>
      </c>
      <c r="F80" s="36" t="n">
        <f aca="false">F11*F38</f>
        <v>7</v>
      </c>
      <c r="G80" s="36" t="n">
        <f aca="false">G11*G38</f>
        <v>4.4</v>
      </c>
      <c r="H80" s="36" t="n">
        <f aca="false">H11*H38</f>
        <v>2.4</v>
      </c>
      <c r="I80" s="36" t="n">
        <f aca="false">I11*I38</f>
        <v>1.4</v>
      </c>
      <c r="J80" s="36" t="n">
        <f aca="false">J11*J38</f>
        <v>0.7</v>
      </c>
      <c r="K80" s="36" t="n">
        <f aca="false">K11*K38</f>
        <v>0.36</v>
      </c>
      <c r="L80" s="36" t="n">
        <f aca="false">L11*L38</f>
        <v>0.36</v>
      </c>
      <c r="M80" s="36" t="n">
        <f aca="false">M11*M38</f>
        <v>0.36</v>
      </c>
    </row>
    <row r="82" customFormat="false" ht="15" hidden="false" customHeight="true" outlineLevel="0" collapsed="false">
      <c r="B82" s="62" t="s">
        <v>274</v>
      </c>
      <c r="C82" s="62"/>
      <c r="D82" s="62" t="n">
        <f aca="false">SUM(D76:D80)</f>
        <v>26.55</v>
      </c>
      <c r="E82" s="62" t="n">
        <f aca="false">SUM(E76:E80)</f>
        <v>46.2</v>
      </c>
      <c r="F82" s="62" t="n">
        <f aca="false">SUM(F76:F80)</f>
        <v>23.1</v>
      </c>
      <c r="G82" s="62" t="n">
        <f aca="false">SUM(G76:G80)</f>
        <v>14.4</v>
      </c>
      <c r="H82" s="62" t="n">
        <f aca="false">SUM(H76:H80)</f>
        <v>7.59</v>
      </c>
      <c r="I82" s="62" t="n">
        <f aca="false">SUM(I76:I80)</f>
        <v>4.13</v>
      </c>
      <c r="J82" s="62" t="n">
        <f aca="false">SUM(J76:J80)</f>
        <v>2.195</v>
      </c>
      <c r="K82" s="62" t="n">
        <f aca="false">SUM(K76:K80)</f>
        <v>1.615</v>
      </c>
      <c r="L82" s="62" t="n">
        <f aca="false">SUM(L76:L80)</f>
        <v>1.315</v>
      </c>
      <c r="M82" s="62" t="n">
        <f aca="false">SUM(M76:M80)</f>
        <v>0.62</v>
      </c>
    </row>
    <row r="85" customFormat="false" ht="15" hidden="false" customHeight="true" outlineLevel="0" collapsed="false">
      <c r="B85" s="60" t="s">
        <v>275</v>
      </c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</row>
    <row r="86" customFormat="false" ht="15" hidden="false" customHeight="true" outlineLevel="0" collapsed="false">
      <c r="B86" s="61" t="s">
        <v>276</v>
      </c>
      <c r="C86" s="61" t="s">
        <v>277</v>
      </c>
      <c r="D86" s="61" t="s">
        <v>30</v>
      </c>
      <c r="E86" s="61" t="s">
        <v>25</v>
      </c>
      <c r="F86" s="61" t="s">
        <v>44</v>
      </c>
      <c r="G86" s="61" t="s">
        <v>39</v>
      </c>
      <c r="H86" s="61" t="s">
        <v>58</v>
      </c>
      <c r="I86" s="61" t="s">
        <v>59</v>
      </c>
      <c r="J86" s="61" t="s">
        <v>60</v>
      </c>
      <c r="K86" s="61" t="s">
        <v>61</v>
      </c>
      <c r="L86" s="61" t="s">
        <v>62</v>
      </c>
      <c r="M86" s="61" t="s">
        <v>63</v>
      </c>
    </row>
    <row r="87" customFormat="false" ht="24.6" hidden="false" customHeight="true" outlineLevel="0" collapsed="false">
      <c r="B87" s="62" t="s">
        <v>278</v>
      </c>
      <c r="C87" s="62" t="s">
        <v>279</v>
      </c>
      <c r="D87" s="62" t="n">
        <f aca="false">SUM(D60,D82)</f>
        <v>74.75</v>
      </c>
      <c r="E87" s="62" t="n">
        <f aca="false">SUM(E60,E82)</f>
        <v>120.95</v>
      </c>
      <c r="F87" s="62" t="n">
        <f aca="false">SUM(F60,F82)</f>
        <v>47.79</v>
      </c>
      <c r="G87" s="62" t="n">
        <f aca="false">SUM(G60,G82)</f>
        <v>25.66</v>
      </c>
      <c r="H87" s="62" t="n">
        <f aca="false">SUM(H60,H82)</f>
        <v>12.01</v>
      </c>
      <c r="I87" s="62" t="n">
        <f aca="false">SUM(I60,I82)</f>
        <v>5.87</v>
      </c>
      <c r="J87" s="62" t="n">
        <f aca="false">SUM(J60,J82)</f>
        <v>2.935</v>
      </c>
      <c r="K87" s="62" t="n">
        <f aca="false">SUM(K60,K82)</f>
        <v>2.089</v>
      </c>
      <c r="L87" s="62" t="n">
        <f aca="false">SUM(L60,L82)</f>
        <v>1.714</v>
      </c>
      <c r="M87" s="62" t="n">
        <f aca="false">SUM(M60,M82)</f>
        <v>0.829</v>
      </c>
    </row>
    <row r="88" customFormat="false" ht="15" hidden="false" customHeight="true" outlineLevel="0" collapsed="false">
      <c r="B88" s="62" t="s">
        <v>280</v>
      </c>
      <c r="C88" s="62" t="s">
        <v>281</v>
      </c>
      <c r="D88" s="62" t="n">
        <f aca="false">D71</f>
        <v>26.25</v>
      </c>
      <c r="E88" s="62" t="n">
        <f aca="false">E71</f>
        <v>89.05</v>
      </c>
      <c r="F88" s="62" t="n">
        <f aca="false">F71</f>
        <v>59.21</v>
      </c>
      <c r="G88" s="62" t="n">
        <f aca="false">G71</f>
        <v>43.34</v>
      </c>
      <c r="H88" s="62" t="n">
        <f aca="false">H71</f>
        <v>25.99</v>
      </c>
      <c r="I88" s="62" t="n">
        <f aca="false">I71</f>
        <v>14.63</v>
      </c>
      <c r="J88" s="62" t="n">
        <f aca="false">J71</f>
        <v>8.365</v>
      </c>
      <c r="K88" s="62" t="n">
        <f aca="false">K71</f>
        <v>6.311</v>
      </c>
      <c r="L88" s="62" t="n">
        <f aca="false">L71</f>
        <v>5.186</v>
      </c>
      <c r="M88" s="62" t="n">
        <f aca="false">M71</f>
        <v>2.271</v>
      </c>
    </row>
    <row r="89" customFormat="false" ht="15" hidden="false" customHeight="true" outlineLevel="0" collapsed="false">
      <c r="B89" s="67" t="s">
        <v>103</v>
      </c>
      <c r="C89" s="67" t="s">
        <v>282</v>
      </c>
      <c r="D89" s="67" t="n">
        <f aca="false">IFERROR(D88/D12,0)</f>
        <v>0.25990099009901</v>
      </c>
      <c r="E89" s="67" t="n">
        <f aca="false">IFERROR(E88/E12,0)</f>
        <v>0.424047619047619</v>
      </c>
      <c r="F89" s="67" t="n">
        <f aca="false">IFERROR(F88/F12,0)</f>
        <v>0.553364485981308</v>
      </c>
      <c r="G89" s="67" t="n">
        <f aca="false">IFERROR(G88/G12,0)</f>
        <v>0.628115942028986</v>
      </c>
      <c r="H89" s="67" t="n">
        <f aca="false">IFERROR(H88/H12,0)</f>
        <v>0.683947368421053</v>
      </c>
      <c r="I89" s="67" t="n">
        <f aca="false">IFERROR(I88/I12,0)</f>
        <v>0.713658536585366</v>
      </c>
      <c r="J89" s="67" t="n">
        <f aca="false">IFERROR(J88/J12,0)</f>
        <v>0.740265486725664</v>
      </c>
      <c r="K89" s="67" t="n">
        <f aca="false">IFERROR(K88/K12,0)</f>
        <v>0.751309523809524</v>
      </c>
      <c r="L89" s="67" t="n">
        <f aca="false">IFERROR(L88/L12,0)</f>
        <v>0.751594202898551</v>
      </c>
      <c r="M89" s="67" t="n">
        <f aca="false">IFERROR(M88/M12,0)</f>
        <v>0.73258064516129</v>
      </c>
    </row>
    <row r="90" customFormat="false" ht="15" hidden="false" customHeight="true" outlineLevel="0" collapsed="false">
      <c r="B90" s="62" t="s">
        <v>283</v>
      </c>
      <c r="C90" s="62" t="s">
        <v>284</v>
      </c>
      <c r="D90" s="62" t="n">
        <f aca="true">SUM(OFFSET(D$88,0,-MIN(COLUMN(D$88)-COLUMN($D$88),Assumptions!$C$58-1),1,MIN(COLUMN(D$88)-COLUMN($D$88)+1,Assumptions!$C$58)))/Assumptions!$C$58</f>
        <v>4.375</v>
      </c>
      <c r="E90" s="62" t="n">
        <f aca="true">SUM(OFFSET(E$88,0,-MIN(COLUMN(E$88)-COLUMN($D$88),Assumptions!$C$58-1),1,MIN(COLUMN(E$88)-COLUMN($D$88)+1,Assumptions!$C$58)))/Assumptions!$C$58</f>
        <v>19.2166666666667</v>
      </c>
      <c r="F90" s="62" t="n">
        <f aca="true">SUM(OFFSET(F$88,0,-MIN(COLUMN(F$88)-COLUMN($D$88),Assumptions!$C$58-1),1,MIN(COLUMN(F$88)-COLUMN($D$88)+1,Assumptions!$C$58)))/Assumptions!$C$58</f>
        <v>29.085</v>
      </c>
      <c r="G90" s="62" t="n">
        <f aca="true">SUM(OFFSET(G$88,0,-MIN(COLUMN(G$88)-COLUMN($D$88),Assumptions!$C$58-1),1,MIN(COLUMN(G$88)-COLUMN($D$88)+1,Assumptions!$C$58)))/Assumptions!$C$58</f>
        <v>36.3083333333333</v>
      </c>
      <c r="H90" s="62" t="n">
        <f aca="true">SUM(OFFSET(H$88,0,-MIN(COLUMN(H$88)-COLUMN($D$88),Assumptions!$C$58-1),1,MIN(COLUMN(H$88)-COLUMN($D$88)+1,Assumptions!$C$58)))/Assumptions!$C$58</f>
        <v>40.64</v>
      </c>
      <c r="I90" s="62" t="n">
        <f aca="true">SUM(OFFSET(I$88,0,-MIN(COLUMN(I$88)-COLUMN($D$88),Assumptions!$C$58-1),1,MIN(COLUMN(I$88)-COLUMN($D$88)+1,Assumptions!$C$58)))/Assumptions!$C$58</f>
        <v>43.0783333333333</v>
      </c>
      <c r="J90" s="62" t="n">
        <f aca="true">SUM(OFFSET(J$88,0,-MIN(COLUMN(J$88)-COLUMN($D$88),Assumptions!$C$58-1),1,MIN(COLUMN(J$88)-COLUMN($D$88)+1,Assumptions!$C$58)))/Assumptions!$C$58</f>
        <v>40.0975</v>
      </c>
      <c r="K90" s="62" t="n">
        <f aca="true">SUM(OFFSET(K$88,0,-MIN(COLUMN(K$88)-COLUMN($D$88),Assumptions!$C$58-1),1,MIN(COLUMN(K$88)-COLUMN($D$88)+1,Assumptions!$C$58)))/Assumptions!$C$58</f>
        <v>26.3076666666667</v>
      </c>
      <c r="L90" s="62" t="n">
        <f aca="true">SUM(OFFSET(L$88,0,-MIN(COLUMN(L$88)-COLUMN($D$88),Assumptions!$C$58-1),1,MIN(COLUMN(L$88)-COLUMN($D$88)+1,Assumptions!$C$58)))/Assumptions!$C$58</f>
        <v>17.3036666666667</v>
      </c>
      <c r="M90" s="62" t="n">
        <f aca="true">SUM(OFFSET(M$88,0,-MIN(COLUMN(M$88)-COLUMN($D$88),Assumptions!$C$58-1),1,MIN(COLUMN(M$88)-COLUMN($D$88)+1,Assumptions!$C$58)))/Assumptions!$C$58</f>
        <v>10.4588333333333</v>
      </c>
    </row>
    <row r="91" customFormat="false" ht="15" hidden="false" customHeight="true" outlineLevel="0" collapsed="false">
      <c r="B91" s="36" t="s">
        <v>285</v>
      </c>
      <c r="C91" s="36" t="s">
        <v>286</v>
      </c>
      <c r="D91" s="36" t="n">
        <f aca="false">SUM($D$88:D$88)</f>
        <v>26.25</v>
      </c>
      <c r="E91" s="36" t="n">
        <f aca="false">SUM($D$88:E$88)</f>
        <v>115.3</v>
      </c>
      <c r="F91" s="36" t="n">
        <f aca="false">SUM($D$88:F$88)</f>
        <v>174.51</v>
      </c>
      <c r="G91" s="36" t="n">
        <f aca="false">SUM($D$88:G$88)</f>
        <v>217.85</v>
      </c>
      <c r="H91" s="36" t="n">
        <f aca="false">SUM($D$88:H$88)</f>
        <v>243.84</v>
      </c>
      <c r="I91" s="36" t="n">
        <f aca="false">SUM($D$88:I$88)</f>
        <v>258.47</v>
      </c>
      <c r="J91" s="36" t="n">
        <f aca="false">SUM($D$88:J$88)</f>
        <v>266.835</v>
      </c>
      <c r="K91" s="36" t="n">
        <f aca="false">SUM($D$88:K$88)</f>
        <v>273.146</v>
      </c>
      <c r="L91" s="36" t="n">
        <f aca="false">SUM($D$88:L$88)</f>
        <v>278.332</v>
      </c>
      <c r="M91" s="36" t="n">
        <f aca="false">SUM($D$88:M$88)</f>
        <v>280.603</v>
      </c>
    </row>
    <row r="92" customFormat="false" ht="15" hidden="false" customHeight="true" outlineLevel="0" collapsed="false">
      <c r="B92" s="36" t="s">
        <v>287</v>
      </c>
      <c r="C92" s="36" t="s">
        <v>288</v>
      </c>
      <c r="D92" s="36" t="n">
        <f aca="false">MIN(D91,SUM($D$90:D$90))</f>
        <v>4.375</v>
      </c>
      <c r="E92" s="36" t="n">
        <f aca="false">MIN(E91,SUM($D$90:E$90))</f>
        <v>23.5916666666667</v>
      </c>
      <c r="F92" s="36" t="n">
        <f aca="false">MIN(F91,SUM($D$90:F$90))</f>
        <v>52.6766666666667</v>
      </c>
      <c r="G92" s="36" t="n">
        <f aca="false">MIN(G91,SUM($D$90:G$90))</f>
        <v>88.985</v>
      </c>
      <c r="H92" s="36" t="n">
        <f aca="false">MIN(H91,SUM($D$90:H$90))</f>
        <v>129.625</v>
      </c>
      <c r="I92" s="36" t="n">
        <f aca="false">MIN(I91,SUM($D$90:I$90))</f>
        <v>172.703333333333</v>
      </c>
      <c r="J92" s="36" t="n">
        <f aca="false">MIN(J91,SUM($D$90:J$90))</f>
        <v>212.800833333333</v>
      </c>
      <c r="K92" s="36" t="n">
        <f aca="false">MIN(K91,SUM($D$90:K$90))</f>
        <v>239.1085</v>
      </c>
      <c r="L92" s="36" t="n">
        <f aca="false">MIN(L91,SUM($D$90:L$90))</f>
        <v>256.412166666667</v>
      </c>
      <c r="M92" s="36" t="n">
        <f aca="false">MIN(M91,SUM($D$90:M$90))</f>
        <v>266.871</v>
      </c>
    </row>
    <row r="93" customFormat="false" ht="15" hidden="false" customHeight="true" outlineLevel="0" collapsed="false">
      <c r="B93" s="62" t="s">
        <v>107</v>
      </c>
      <c r="C93" s="62" t="s">
        <v>289</v>
      </c>
      <c r="D93" s="62" t="n">
        <f aca="false">D91-D92</f>
        <v>21.875</v>
      </c>
      <c r="E93" s="62" t="n">
        <f aca="false">E91-E92</f>
        <v>91.7083333333333</v>
      </c>
      <c r="F93" s="62" t="n">
        <f aca="false">F91-F92</f>
        <v>121.833333333333</v>
      </c>
      <c r="G93" s="62" t="n">
        <f aca="false">G91-G92</f>
        <v>128.865</v>
      </c>
      <c r="H93" s="62" t="n">
        <f aca="false">H91-H92</f>
        <v>114.215</v>
      </c>
      <c r="I93" s="62" t="n">
        <f aca="false">I91-I92</f>
        <v>85.7666666666667</v>
      </c>
      <c r="J93" s="62" t="n">
        <f aca="false">J91-J92</f>
        <v>54.0341666666667</v>
      </c>
      <c r="K93" s="62" t="n">
        <f aca="false">K91-K92</f>
        <v>34.0375</v>
      </c>
      <c r="L93" s="62" t="n">
        <f aca="false">L91-L92</f>
        <v>21.9198333333333</v>
      </c>
      <c r="M93" s="62" t="n">
        <f aca="false">M91-M92</f>
        <v>13.732</v>
      </c>
    </row>
    <row r="94" customFormat="false" ht="15" hidden="false" customHeight="true" outlineLevel="0" collapsed="false">
      <c r="B94" s="62" t="s">
        <v>290</v>
      </c>
      <c r="C94" s="62" t="s">
        <v>291</v>
      </c>
      <c r="D94" s="62" t="n">
        <f aca="false">D60+D71+D82-D12</f>
        <v>0</v>
      </c>
      <c r="E94" s="62" t="n">
        <f aca="false">E60+E71+E82-E12</f>
        <v>0</v>
      </c>
      <c r="F94" s="62" t="n">
        <f aca="false">F60+F71+F82-F12</f>
        <v>0</v>
      </c>
      <c r="G94" s="62" t="n">
        <f aca="false">G60+G71+G82-G12</f>
        <v>0</v>
      </c>
      <c r="H94" s="62" t="n">
        <f aca="false">H60+H71+H82-H12</f>
        <v>0</v>
      </c>
      <c r="I94" s="62" t="n">
        <f aca="false">I60+I71+I82-I12</f>
        <v>0</v>
      </c>
      <c r="J94" s="62" t="n">
        <f aca="false">J60+J71+J82-J12</f>
        <v>0</v>
      </c>
      <c r="K94" s="62" t="n">
        <f aca="false">K60+K71+K82-K12</f>
        <v>0</v>
      </c>
      <c r="L94" s="62" t="n">
        <f aca="false">L60+L71+L82-L12</f>
        <v>0</v>
      </c>
      <c r="M94" s="62" t="n">
        <f aca="false">M60+M71+M82-M12</f>
        <v>0</v>
      </c>
    </row>
    <row r="97" customFormat="false" ht="15" hidden="false" customHeight="true" outlineLevel="0" collapsed="false">
      <c r="B97" s="60" t="s">
        <v>292</v>
      </c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</row>
    <row r="98" customFormat="false" ht="15" hidden="false" customHeight="true" outlineLevel="0" collapsed="false">
      <c r="B98" s="61" t="s">
        <v>276</v>
      </c>
      <c r="C98" s="61" t="s">
        <v>277</v>
      </c>
      <c r="D98" s="61" t="s">
        <v>30</v>
      </c>
      <c r="E98" s="61" t="s">
        <v>25</v>
      </c>
      <c r="F98" s="61" t="s">
        <v>44</v>
      </c>
      <c r="G98" s="61" t="s">
        <v>39</v>
      </c>
      <c r="H98" s="61" t="s">
        <v>58</v>
      </c>
      <c r="I98" s="61" t="s">
        <v>59</v>
      </c>
      <c r="J98" s="61" t="s">
        <v>60</v>
      </c>
      <c r="K98" s="61" t="s">
        <v>61</v>
      </c>
      <c r="L98" s="61" t="s">
        <v>62</v>
      </c>
      <c r="M98" s="61" t="s">
        <v>63</v>
      </c>
    </row>
    <row r="99" customFormat="false" ht="15" hidden="false" customHeight="true" outlineLevel="0" collapsed="false">
      <c r="B99" s="36" t="s">
        <v>293</v>
      </c>
      <c r="C99" s="36" t="s">
        <v>294</v>
      </c>
      <c r="D99" s="36" t="n">
        <f aca="false">'R&amp;D_NRE'!D18</f>
        <v>4.375</v>
      </c>
      <c r="E99" s="36" t="n">
        <f aca="false">'R&amp;D_NRE'!E18</f>
        <v>19.2166666666667</v>
      </c>
      <c r="F99" s="36" t="n">
        <f aca="false">'R&amp;D_NRE'!F18</f>
        <v>29.085</v>
      </c>
      <c r="G99" s="36" t="n">
        <f aca="false">'R&amp;D_NRE'!G18</f>
        <v>36.3083333333333</v>
      </c>
      <c r="H99" s="36" t="n">
        <f aca="false">'R&amp;D_NRE'!H18</f>
        <v>40.64</v>
      </c>
      <c r="I99" s="36" t="n">
        <f aca="false">'R&amp;D_NRE'!I18</f>
        <v>43.0783333333333</v>
      </c>
      <c r="J99" s="36" t="n">
        <f aca="false">'R&amp;D_NRE'!J18</f>
        <v>40.0975</v>
      </c>
      <c r="K99" s="36" t="n">
        <f aca="false">'R&amp;D_NRE'!K18</f>
        <v>26.3076666666667</v>
      </c>
      <c r="L99" s="36" t="n">
        <f aca="false">'R&amp;D_NRE'!L18</f>
        <v>17.3036666666667</v>
      </c>
      <c r="M99" s="36" t="n">
        <f aca="false">'R&amp;D_NRE'!M18</f>
        <v>10.4588333333333</v>
      </c>
    </row>
    <row r="100" customFormat="false" ht="15" hidden="false" customHeight="true" outlineLevel="0" collapsed="false">
      <c r="B100" s="36" t="s">
        <v>295</v>
      </c>
      <c r="C100" s="36" t="s">
        <v>296</v>
      </c>
      <c r="D100" s="36" t="n">
        <f aca="false">'R&amp;D_NRE'!D16</f>
        <v>26.25</v>
      </c>
      <c r="E100" s="36" t="n">
        <f aca="false">'R&amp;D_NRE'!E16</f>
        <v>89.05</v>
      </c>
      <c r="F100" s="36" t="n">
        <f aca="false">'R&amp;D_NRE'!F16</f>
        <v>59.21</v>
      </c>
      <c r="G100" s="36" t="n">
        <f aca="false">'R&amp;D_NRE'!G16</f>
        <v>43.34</v>
      </c>
      <c r="H100" s="36" t="n">
        <f aca="false">'R&amp;D_NRE'!H16</f>
        <v>25.99</v>
      </c>
      <c r="I100" s="36" t="n">
        <f aca="false">'R&amp;D_NRE'!I16</f>
        <v>14.63</v>
      </c>
      <c r="J100" s="36" t="n">
        <f aca="false">'R&amp;D_NRE'!J16</f>
        <v>8.365</v>
      </c>
      <c r="K100" s="36" t="n">
        <f aca="false">'R&amp;D_NRE'!K16</f>
        <v>6.311</v>
      </c>
      <c r="L100" s="36" t="n">
        <f aca="false">'R&amp;D_NRE'!L16</f>
        <v>5.186</v>
      </c>
      <c r="M100" s="36" t="n">
        <f aca="false">'R&amp;D_NRE'!M16</f>
        <v>2.271</v>
      </c>
    </row>
    <row r="101" customFormat="false" ht="15" hidden="false" customHeight="true" outlineLevel="0" collapsed="false">
      <c r="B101" s="36" t="s">
        <v>297</v>
      </c>
      <c r="C101" s="36" t="s">
        <v>298</v>
      </c>
      <c r="D101" s="36" t="n">
        <f aca="false">'P&amp;L'!C27+D99-D100</f>
        <v>-356.943253443057</v>
      </c>
      <c r="E101" s="36" t="n">
        <f aca="false">'P&amp;L'!D27+E99-E100</f>
        <v>-425.546769594843</v>
      </c>
      <c r="F101" s="36" t="n">
        <f aca="false">'P&amp;L'!E27+F99-F100</f>
        <v>-121.542614403528</v>
      </c>
      <c r="G101" s="36" t="n">
        <f aca="false">'P&amp;L'!F27+G99-G100</f>
        <v>92.456419339265</v>
      </c>
      <c r="H101" s="36" t="n">
        <f aca="false">'P&amp;L'!G27+H99-H100</f>
        <v>414.777771773138</v>
      </c>
      <c r="I101" s="36" t="n">
        <f aca="false">'P&amp;L'!H27+I99-I100</f>
        <v>800.641463328315</v>
      </c>
      <c r="J101" s="36" t="n">
        <f aca="false">'P&amp;L'!I27+J99-J100</f>
        <v>1167.76506069762</v>
      </c>
      <c r="K101" s="36" t="n">
        <f aca="false">'P&amp;L'!J27+K99-K100</f>
        <v>1566.02744540717</v>
      </c>
      <c r="L101" s="36" t="n">
        <f aca="false">'P&amp;L'!K27+L99-L100</f>
        <v>1940.99898469612</v>
      </c>
      <c r="M101" s="36" t="n">
        <f aca="false">'P&amp;L'!L27+M99-M100</f>
        <v>2300.71471905326</v>
      </c>
    </row>
    <row r="104" customFormat="false" ht="27.75" hidden="false" customHeight="true" outlineLevel="0" collapsed="false">
      <c r="B104" s="58" t="s">
        <v>299</v>
      </c>
      <c r="C104" s="59" t="s">
        <v>300</v>
      </c>
      <c r="D104" s="59"/>
      <c r="E104" s="59"/>
      <c r="F104" s="59"/>
      <c r="G104" s="59"/>
      <c r="H104" s="59"/>
      <c r="I104" s="59"/>
      <c r="J104" s="59"/>
      <c r="K104" s="59"/>
      <c r="L104" s="59"/>
      <c r="M104" s="59"/>
    </row>
  </sheetData>
  <mergeCells count="13">
    <mergeCell ref="B2:M2"/>
    <mergeCell ref="C3:M3"/>
    <mergeCell ref="B5:M5"/>
    <mergeCell ref="B14:M14"/>
    <mergeCell ref="B23:M23"/>
    <mergeCell ref="B32:M32"/>
    <mergeCell ref="B41:M41"/>
    <mergeCell ref="B52:M52"/>
    <mergeCell ref="B63:M63"/>
    <mergeCell ref="B74:M74"/>
    <mergeCell ref="B85:M85"/>
    <mergeCell ref="B97:M97"/>
    <mergeCell ref="C104:M10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N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32" activePane="bottomRight" state="frozen"/>
      <selection pane="topLeft" activeCell="A1" activeCellId="0" sqref="A1"/>
      <selection pane="topRight" activeCell="D1" activeCellId="0" sqref="D1"/>
      <selection pane="bottomLeft" activeCell="A32" activeCellId="0" sqref="A32"/>
      <selection pane="bottomRight" activeCell="Q24" activeCellId="0" sqref="Q2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68" width="10.01"/>
    <col collapsed="false" customWidth="true" hidden="false" outlineLevel="0" max="2" min="2" style="1" width="32"/>
    <col collapsed="false" customWidth="true" hidden="false" outlineLevel="0" max="3" min="3" style="68" width="17.8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301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21.75" hidden="false" customHeight="true" outlineLevel="0" collapsed="false">
      <c r="B4" s="69" t="s">
        <v>302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</row>
    <row r="5" customFormat="false" ht="23.25" hidden="false" customHeight="true" outlineLevel="0" collapsed="false">
      <c r="B5" s="7" t="s">
        <v>18</v>
      </c>
      <c r="C5" s="70" t="s">
        <v>303</v>
      </c>
      <c r="D5" s="71" t="s">
        <v>304</v>
      </c>
      <c r="E5" s="71" t="s">
        <v>305</v>
      </c>
      <c r="F5" s="71" t="s">
        <v>306</v>
      </c>
      <c r="G5" s="71" t="s">
        <v>307</v>
      </c>
      <c r="H5" s="7" t="s">
        <v>308</v>
      </c>
    </row>
    <row r="6" customFormat="false" ht="15" hidden="false" customHeight="true" outlineLevel="0" collapsed="false">
      <c r="B6" s="72" t="s">
        <v>309</v>
      </c>
      <c r="C6" s="73" t="n">
        <v>0.45</v>
      </c>
      <c r="D6" s="74" t="n">
        <v>0.25</v>
      </c>
      <c r="E6" s="74" t="n">
        <v>0.2</v>
      </c>
      <c r="F6" s="74" t="n">
        <v>0.08</v>
      </c>
      <c r="G6" s="74" t="n">
        <v>0.02</v>
      </c>
      <c r="H6" s="75" t="n">
        <f aca="false">SUM(C6:G6)</f>
        <v>1</v>
      </c>
    </row>
    <row r="7" customFormat="false" ht="15" hidden="false" customHeight="true" outlineLevel="0" collapsed="false">
      <c r="B7" s="72" t="s">
        <v>310</v>
      </c>
      <c r="C7" s="73" t="n">
        <v>0.4</v>
      </c>
      <c r="D7" s="74" t="n">
        <v>0.3</v>
      </c>
      <c r="E7" s="74" t="n">
        <v>0.15</v>
      </c>
      <c r="F7" s="74" t="n">
        <v>0.1</v>
      </c>
      <c r="G7" s="74" t="n">
        <v>0.05</v>
      </c>
      <c r="H7" s="75" t="n">
        <f aca="false">SUM(C7:G7)</f>
        <v>1</v>
      </c>
    </row>
    <row r="8" customFormat="false" ht="15" hidden="false" customHeight="true" outlineLevel="0" collapsed="false">
      <c r="B8" s="76" t="s">
        <v>311</v>
      </c>
      <c r="C8" s="73" t="n">
        <v>0.25</v>
      </c>
      <c r="D8" s="74" t="n">
        <v>0.2</v>
      </c>
      <c r="E8" s="74" t="n">
        <v>0.15</v>
      </c>
      <c r="F8" s="74" t="n">
        <v>0.15</v>
      </c>
      <c r="G8" s="74" t="n">
        <v>0.25</v>
      </c>
      <c r="H8" s="75" t="n">
        <f aca="false">SUM(C8:G8)</f>
        <v>1</v>
      </c>
    </row>
    <row r="9" customFormat="false" ht="15" hidden="false" customHeight="true" outlineLevel="0" collapsed="false">
      <c r="B9" s="72" t="s">
        <v>312</v>
      </c>
      <c r="C9" s="73" t="n">
        <v>0.05</v>
      </c>
      <c r="D9" s="74" t="n">
        <v>0.1</v>
      </c>
      <c r="E9" s="74" t="n">
        <v>0.4</v>
      </c>
      <c r="F9" s="74" t="n">
        <v>0.25</v>
      </c>
      <c r="G9" s="74" t="n">
        <v>0.2</v>
      </c>
      <c r="H9" s="75" t="n">
        <f aca="false">SUM(C9:G9)</f>
        <v>1</v>
      </c>
    </row>
    <row r="10" customFormat="false" ht="15" hidden="false" customHeight="true" outlineLevel="0" collapsed="false">
      <c r="B10" s="77" t="s">
        <v>313</v>
      </c>
      <c r="C10" s="73" t="n">
        <v>0.05</v>
      </c>
      <c r="D10" s="74" t="n">
        <v>0.1</v>
      </c>
      <c r="E10" s="74" t="n">
        <v>0.35</v>
      </c>
      <c r="F10" s="74" t="n">
        <v>0.25</v>
      </c>
      <c r="G10" s="74" t="n">
        <v>0.25</v>
      </c>
      <c r="H10" s="75" t="n">
        <f aca="false">SUM(C10:G10)</f>
        <v>1</v>
      </c>
    </row>
    <row r="11" customFormat="false" ht="15" hidden="false" customHeight="true" outlineLevel="0" collapsed="false">
      <c r="B11" s="78" t="s">
        <v>314</v>
      </c>
      <c r="C11" s="73" t="n">
        <v>0</v>
      </c>
      <c r="D11" s="74" t="n">
        <v>0.1</v>
      </c>
      <c r="E11" s="74" t="n">
        <v>0.05</v>
      </c>
      <c r="F11" s="74" t="n">
        <v>0.25</v>
      </c>
      <c r="G11" s="74" t="n">
        <v>0.6</v>
      </c>
      <c r="H11" s="75" t="n">
        <f aca="false">SUM(C11:G11)</f>
        <v>1</v>
      </c>
    </row>
    <row r="13" customFormat="false" ht="21.75" hidden="false" customHeight="true" outlineLevel="0" collapsed="false">
      <c r="B13" s="6" t="s">
        <v>315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true" outlineLevel="0" collapsed="false">
      <c r="B14" s="20" t="s">
        <v>18</v>
      </c>
      <c r="C14" s="20"/>
      <c r="D14" s="21" t="s">
        <v>30</v>
      </c>
      <c r="E14" s="21" t="s">
        <v>25</v>
      </c>
      <c r="F14" s="21" t="s">
        <v>44</v>
      </c>
      <c r="G14" s="21" t="s">
        <v>39</v>
      </c>
      <c r="H14" s="21" t="s">
        <v>58</v>
      </c>
      <c r="I14" s="21" t="s">
        <v>59</v>
      </c>
      <c r="J14" s="21" t="s">
        <v>60</v>
      </c>
      <c r="K14" s="21" t="s">
        <v>61</v>
      </c>
      <c r="L14" s="21" t="s">
        <v>62</v>
      </c>
      <c r="M14" s="21" t="s">
        <v>63</v>
      </c>
    </row>
    <row r="15" customFormat="false" ht="15" hidden="false" customHeight="true" outlineLevel="0" collapsed="false">
      <c r="B15" s="72" t="s">
        <v>309</v>
      </c>
      <c r="D15" s="24" t="n">
        <f aca="false">C6*Platform!D21+D6*Platform!D22+E6*Platform!D23+F6*Platform!D24+G6*Platform!D25</f>
        <v>0.5225</v>
      </c>
      <c r="E15" s="24" t="n">
        <f aca="false">C6*Platform!E21+D6*Platform!E22+E6*Platform!E23+F6*Platform!E24+G6*Platform!E25</f>
        <v>0.6885</v>
      </c>
      <c r="F15" s="24" t="n">
        <f aca="false">C6*Platform!F21+D6*Platform!F22+E6*Platform!F23+F6*Platform!F24+G6*Platform!F25</f>
        <v>0.8119</v>
      </c>
      <c r="G15" s="24" t="n">
        <f aca="false">C6*Platform!G21+D6*Platform!G22+E6*Platform!G23+F6*Platform!G24+G6*Platform!G25</f>
        <v>0.8911</v>
      </c>
      <c r="H15" s="24" t="n">
        <f aca="false">C6*Platform!H21+D6*Platform!H22+E6*Platform!H23+F6*Platform!H24+G6*Platform!H25</f>
        <v>0.9357</v>
      </c>
      <c r="I15" s="24" t="n">
        <f aca="false">C6*Platform!I21+D6*Platform!I22+E6*Platform!I23+F6*Platform!I24+G6*Platform!I25</f>
        <v>0.9581</v>
      </c>
      <c r="J15" s="24" t="n">
        <f aca="false">C6*Platform!J21+D6*Platform!J22+E6*Platform!J23+F6*Platform!J24+G6*Platform!J25</f>
        <v>0.9703</v>
      </c>
      <c r="K15" s="24" t="n">
        <f aca="false">C6*Platform!K21+D6*Platform!K22+E6*Platform!K23+F6*Platform!K24+G6*Platform!K25</f>
        <v>0.9803</v>
      </c>
      <c r="L15" s="24" t="n">
        <f aca="false">C6*Platform!L21+D6*Platform!L22+E6*Platform!L23+F6*Platform!L24+G6*Platform!L25</f>
        <v>0.9878</v>
      </c>
      <c r="M15" s="24" t="n">
        <f aca="false">C6*Platform!M21+D6*Platform!M22+E6*Platform!M23+F6*Platform!M24+G6*Platform!M25</f>
        <v>0.99</v>
      </c>
    </row>
    <row r="16" customFormat="false" ht="15" hidden="false" customHeight="true" outlineLevel="0" collapsed="false">
      <c r="B16" s="72" t="s">
        <v>310</v>
      </c>
      <c r="D16" s="24" t="n">
        <f aca="false">C7*Platform!D21+D7*Platform!D22+E7*Platform!D23+F7*Platform!D24+G7*Platform!D25</f>
        <v>0.5225</v>
      </c>
      <c r="E16" s="24" t="n">
        <f aca="false">C7*Platform!E21+D7*Platform!E22+E7*Platform!E23+F7*Platform!E24+G7*Platform!E25</f>
        <v>0.69</v>
      </c>
      <c r="F16" s="24" t="n">
        <f aca="false">C7*Platform!F21+D7*Platform!F22+E7*Platform!F23+F7*Platform!F24+G7*Platform!F25</f>
        <v>0.8135</v>
      </c>
      <c r="G16" s="24" t="n">
        <f aca="false">C7*Platform!G21+D7*Platform!G22+E7*Platform!G23+F7*Platform!G24+G7*Platform!G25</f>
        <v>0.892</v>
      </c>
      <c r="H16" s="24" t="n">
        <f aca="false">C7*Platform!H21+D7*Platform!H22+E7*Platform!H23+F7*Platform!H24+G7*Platform!H25</f>
        <v>0.9365</v>
      </c>
      <c r="I16" s="24" t="n">
        <f aca="false">C7*Platform!I21+D7*Platform!I22+E7*Platform!I23+F7*Platform!I24+G7*Platform!I25</f>
        <v>0.959</v>
      </c>
      <c r="J16" s="24" t="n">
        <f aca="false">C7*Platform!J21+D7*Platform!J22+E7*Platform!J23+F7*Platform!J24+G7*Platform!J25</f>
        <v>0.971</v>
      </c>
      <c r="K16" s="24" t="n">
        <f aca="false">C7*Platform!K21+D7*Platform!K22+E7*Platform!K23+F7*Platform!K24+G7*Platform!K25</f>
        <v>0.981</v>
      </c>
      <c r="L16" s="24" t="n">
        <f aca="false">C7*Platform!L21+D7*Platform!L22+E7*Platform!L23+F7*Platform!L24+G7*Platform!L25</f>
        <v>0.988</v>
      </c>
      <c r="M16" s="24" t="n">
        <f aca="false">C7*Platform!M21+D7*Platform!M22+E7*Platform!M23+F7*Platform!M24+G7*Platform!M25</f>
        <v>0.99</v>
      </c>
    </row>
    <row r="17" customFormat="false" ht="15" hidden="false" customHeight="true" outlineLevel="0" collapsed="false">
      <c r="B17" s="76" t="s">
        <v>311</v>
      </c>
      <c r="D17" s="24" t="n">
        <f aca="false">C8*Platform!D21+D8*Platform!D22+E8*Platform!D23+F8*Platform!D24+G8*Platform!D25</f>
        <v>0.455</v>
      </c>
      <c r="E17" s="24" t="n">
        <f aca="false">C8*Platform!E21+D8*Platform!E22+E8*Platform!E23+F8*Platform!E24+G8*Platform!E25</f>
        <v>0.645</v>
      </c>
      <c r="F17" s="24" t="n">
        <f aca="false">C8*Platform!F21+D8*Platform!F22+E8*Platform!F23+F8*Platform!F24+G8*Platform!F25</f>
        <v>0.787</v>
      </c>
      <c r="G17" s="24" t="n">
        <f aca="false">C8*Platform!G21+D8*Platform!G22+E8*Platform!G23+F8*Platform!G24+G8*Platform!G25</f>
        <v>0.877</v>
      </c>
      <c r="H17" s="24" t="n">
        <f aca="false">C8*Platform!H21+D8*Platform!H22+E8*Platform!H23+F8*Platform!H24+G8*Platform!H25</f>
        <v>0.9275</v>
      </c>
      <c r="I17" s="24" t="n">
        <f aca="false">C8*Platform!I21+D8*Platform!I22+E8*Platform!I23+F8*Platform!I24+G8*Platform!I25</f>
        <v>0.954</v>
      </c>
      <c r="J17" s="24" t="n">
        <f aca="false">C8*Platform!J21+D8*Platform!J22+E8*Platform!J23+F8*Platform!J24+G8*Platform!J25</f>
        <v>0.968</v>
      </c>
      <c r="K17" s="24" t="n">
        <f aca="false">C8*Platform!K21+D8*Platform!K22+E8*Platform!K23+F8*Platform!K24+G8*Platform!K25</f>
        <v>0.978</v>
      </c>
      <c r="L17" s="24" t="n">
        <f aca="false">C8*Platform!L21+D8*Platform!L22+E8*Platform!L23+F8*Platform!L24+G8*Platform!L25</f>
        <v>0.986</v>
      </c>
      <c r="M17" s="24" t="n">
        <f aca="false">C8*Platform!M21+D8*Platform!M22+E8*Platform!M23+F8*Platform!M24+G8*Platform!M25</f>
        <v>0.99</v>
      </c>
    </row>
    <row r="18" customFormat="false" ht="15" hidden="false" customHeight="true" outlineLevel="0" collapsed="false">
      <c r="B18" s="72" t="s">
        <v>312</v>
      </c>
      <c r="D18" s="24" t="n">
        <f aca="false">C9*Platform!D21+D9*Platform!D22+E9*Platform!D23+F9*Platform!D24+G9*Platform!D25</f>
        <v>0.4225</v>
      </c>
      <c r="E18" s="24" t="n">
        <f aca="false">C9*Platform!E21+D9*Platform!E22+E9*Platform!E23+F9*Platform!E24+G9*Platform!E25</f>
        <v>0.625</v>
      </c>
      <c r="F18" s="24" t="n">
        <f aca="false">C9*Platform!F21+D9*Platform!F22+E9*Platform!F23+F9*Platform!F24+G9*Platform!F25</f>
        <v>0.7735</v>
      </c>
      <c r="G18" s="24" t="n">
        <f aca="false">C9*Platform!G21+D9*Platform!G22+E9*Platform!G23+F9*Platform!G24+G9*Platform!G25</f>
        <v>0.867</v>
      </c>
      <c r="H18" s="24" t="n">
        <f aca="false">C9*Platform!H21+D9*Platform!H22+E9*Platform!H23+F9*Platform!H24+G9*Platform!H25</f>
        <v>0.921</v>
      </c>
      <c r="I18" s="24" t="n">
        <f aca="false">C9*Platform!I21+D9*Platform!I22+E9*Platform!I23+F9*Platform!I24+G9*Platform!I25</f>
        <v>0.949</v>
      </c>
      <c r="J18" s="24" t="n">
        <f aca="false">C9*Platform!J21+D9*Platform!J22+E9*Platform!J23+F9*Platform!J24+G9*Platform!J25</f>
        <v>0.965</v>
      </c>
      <c r="K18" s="24" t="n">
        <f aca="false">C9*Platform!K21+D9*Platform!K22+E9*Platform!K23+F9*Platform!K24+G9*Platform!K25</f>
        <v>0.975</v>
      </c>
      <c r="L18" s="24" t="n">
        <f aca="false">C9*Platform!L21+D9*Platform!L22+E9*Platform!L23+F9*Platform!L24+G9*Platform!L25</f>
        <v>0.984</v>
      </c>
      <c r="M18" s="24" t="n">
        <f aca="false">C9*Platform!M21+D9*Platform!M22+E9*Platform!M23+F9*Platform!M24+G9*Platform!M25</f>
        <v>0.99</v>
      </c>
    </row>
    <row r="19" customFormat="false" ht="15" hidden="false" customHeight="true" outlineLevel="0" collapsed="false">
      <c r="B19" s="77" t="s">
        <v>313</v>
      </c>
      <c r="D19" s="24" t="n">
        <f aca="false">C10*Platform!D21+D10*Platform!D22+E10*Platform!D23+F10*Platform!D24+G10*Platform!D25</f>
        <v>0.415</v>
      </c>
      <c r="E19" s="24" t="n">
        <f aca="false">C10*Platform!E21+D10*Platform!E22+E10*Platform!E23+F10*Platform!E24+G10*Platform!E25</f>
        <v>0.62</v>
      </c>
      <c r="F19" s="24" t="n">
        <f aca="false">C10*Platform!F21+D10*Platform!F22+E10*Platform!F23+F10*Platform!F24+G10*Platform!F25</f>
        <v>0.771</v>
      </c>
      <c r="G19" s="24" t="n">
        <f aca="false">C10*Platform!G21+D10*Platform!G22+E10*Platform!G23+F10*Platform!G24+G10*Platform!G25</f>
        <v>0.866</v>
      </c>
      <c r="H19" s="24" t="n">
        <f aca="false">C10*Platform!H21+D10*Platform!H22+E10*Platform!H23+F10*Platform!H24+G10*Platform!H25</f>
        <v>0.9205</v>
      </c>
      <c r="I19" s="24" t="n">
        <f aca="false">C10*Platform!I21+D10*Platform!I22+E10*Platform!I23+F10*Platform!I24+G10*Platform!I25</f>
        <v>0.949</v>
      </c>
      <c r="J19" s="24" t="n">
        <f aca="false">C10*Platform!J21+D10*Platform!J22+E10*Platform!J23+F10*Platform!J24+G10*Platform!J25</f>
        <v>0.965</v>
      </c>
      <c r="K19" s="24" t="n">
        <f aca="false">C10*Platform!K21+D10*Platform!K22+E10*Platform!K23+F10*Platform!K24+G10*Platform!K25</f>
        <v>0.975</v>
      </c>
      <c r="L19" s="24" t="n">
        <f aca="false">C10*Platform!L21+D10*Platform!L22+E10*Platform!L23+F10*Platform!L24+G10*Platform!L25</f>
        <v>0.984</v>
      </c>
      <c r="M19" s="24" t="n">
        <f aca="false">C10*Platform!M21+D10*Platform!M22+E10*Platform!M23+F10*Platform!M24+G10*Platform!M25</f>
        <v>0.99</v>
      </c>
    </row>
    <row r="20" customFormat="false" ht="15" hidden="false" customHeight="true" outlineLevel="0" collapsed="false">
      <c r="B20" s="78" t="s">
        <v>314</v>
      </c>
      <c r="D20" s="24" t="n">
        <f aca="false">C11*Platform!D21+D11*Platform!D22+E11*Platform!D23+F11*Platform!D24+G11*Platform!D25</f>
        <v>0.355</v>
      </c>
      <c r="E20" s="24" t="n">
        <f aca="false">C11*Platform!E21+D11*Platform!E22+E11*Platform!E23+F11*Platform!E24+G11*Platform!E25</f>
        <v>0.58</v>
      </c>
      <c r="F20" s="24" t="n">
        <f aca="false">C11*Platform!F21+D11*Platform!F22+E11*Platform!F23+F11*Platform!F24+G11*Platform!F25</f>
        <v>0.75</v>
      </c>
      <c r="G20" s="24" t="n">
        <f aca="false">C11*Platform!G21+D11*Platform!G22+E11*Platform!G23+F11*Platform!G24+G11*Platform!G25</f>
        <v>0.8565</v>
      </c>
      <c r="H20" s="24" t="n">
        <f aca="false">C11*Platform!H21+D11*Platform!H22+E11*Platform!H23+F11*Platform!H24+G11*Platform!H25</f>
        <v>0.9155</v>
      </c>
      <c r="I20" s="24" t="n">
        <f aca="false">C11*Platform!I21+D11*Platform!I22+E11*Platform!I23+F11*Platform!I24+G11*Platform!I25</f>
        <v>0.948</v>
      </c>
      <c r="J20" s="24" t="n">
        <f aca="false">C11*Platform!J21+D11*Platform!J22+E11*Platform!J23+F11*Platform!J24+G11*Platform!J25</f>
        <v>0.9645</v>
      </c>
      <c r="K20" s="24" t="n">
        <f aca="false">C11*Platform!K21+D11*Platform!K22+E11*Platform!K23+F11*Platform!K24+G11*Platform!K25</f>
        <v>0.9745</v>
      </c>
      <c r="L20" s="24" t="n">
        <f aca="false">C11*Platform!L21+D11*Platform!L22+E11*Platform!L23+F11*Platform!L24+G11*Platform!L25</f>
        <v>0.9835</v>
      </c>
      <c r="M20" s="24" t="n">
        <f aca="false">C11*Platform!M21+D11*Platform!M22+E11*Platform!M23+F11*Platform!M24+G11*Platform!M25</f>
        <v>0.99</v>
      </c>
    </row>
    <row r="22" customFormat="false" ht="21.75" hidden="false" customHeight="true" outlineLevel="0" collapsed="false">
      <c r="B22" s="6" t="s">
        <v>316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true" outlineLevel="0" collapsed="false">
      <c r="B23" s="20" t="s">
        <v>317</v>
      </c>
      <c r="C23" s="20" t="s">
        <v>318</v>
      </c>
      <c r="D23" s="21" t="s">
        <v>30</v>
      </c>
      <c r="E23" s="21" t="s">
        <v>25</v>
      </c>
      <c r="F23" s="21" t="s">
        <v>44</v>
      </c>
      <c r="G23" s="21" t="s">
        <v>39</v>
      </c>
      <c r="H23" s="21" t="s">
        <v>58</v>
      </c>
      <c r="I23" s="21" t="s">
        <v>59</v>
      </c>
      <c r="J23" s="21" t="s">
        <v>60</v>
      </c>
      <c r="K23" s="21" t="s">
        <v>61</v>
      </c>
      <c r="L23" s="21" t="s">
        <v>62</v>
      </c>
      <c r="M23" s="21" t="s">
        <v>63</v>
      </c>
    </row>
    <row r="24" customFormat="false" ht="23.25" hidden="false" customHeight="true" outlineLevel="0" collapsed="false">
      <c r="B24" s="8" t="s">
        <v>319</v>
      </c>
      <c r="C24" s="54" t="s">
        <v>320</v>
      </c>
      <c r="D24" s="52" t="n">
        <v>62.7</v>
      </c>
      <c r="E24" s="52" t="n">
        <v>62.7</v>
      </c>
      <c r="F24" s="52" t="n">
        <v>37.62</v>
      </c>
      <c r="G24" s="52" t="n">
        <v>20.9</v>
      </c>
      <c r="H24" s="52" t="n">
        <v>10.45</v>
      </c>
      <c r="I24" s="52" t="n">
        <v>6.27</v>
      </c>
      <c r="J24" s="52" t="n">
        <v>4.18</v>
      </c>
      <c r="K24" s="52" t="n">
        <v>2.09</v>
      </c>
      <c r="L24" s="52" t="n">
        <v>1.045</v>
      </c>
      <c r="M24" s="52" t="n">
        <v>1.045</v>
      </c>
    </row>
    <row r="25" customFormat="false" ht="75.75" hidden="false" customHeight="true" outlineLevel="0" collapsed="false">
      <c r="A25" s="68" t="s">
        <v>23</v>
      </c>
      <c r="B25" s="72" t="s">
        <v>321</v>
      </c>
      <c r="C25" s="79" t="s">
        <v>322</v>
      </c>
      <c r="D25" s="23" t="n">
        <f aca="false">D24*(1-D15)</f>
        <v>29.93925</v>
      </c>
      <c r="E25" s="23" t="n">
        <f aca="false">E24*(1-E15)</f>
        <v>19.53105</v>
      </c>
      <c r="F25" s="23" t="n">
        <f aca="false">F24*(1-F15)</f>
        <v>7.076322</v>
      </c>
      <c r="G25" s="23" t="n">
        <f aca="false">G24*(1-G15)</f>
        <v>2.27601</v>
      </c>
      <c r="H25" s="23" t="n">
        <f aca="false">H24*(1-H15)</f>
        <v>0.671934999999999</v>
      </c>
      <c r="I25" s="23" t="n">
        <f aca="false">I24*(1-I15)</f>
        <v>0.262713</v>
      </c>
      <c r="J25" s="23" t="n">
        <f aca="false">J24*(1-J15)</f>
        <v>0.124146</v>
      </c>
      <c r="K25" s="23" t="n">
        <f aca="false">K24*(1-K15)</f>
        <v>0.0411729999999999</v>
      </c>
      <c r="L25" s="23" t="n">
        <f aca="false">L24*(1-L15)</f>
        <v>0.012749</v>
      </c>
      <c r="M25" s="23" t="n">
        <f aca="false">M24*(1-M15)</f>
        <v>0.0104499999999999</v>
      </c>
    </row>
    <row r="26" customFormat="false" ht="15" hidden="false" customHeight="true" outlineLevel="0" collapsed="false">
      <c r="B26" s="54" t="s">
        <v>323</v>
      </c>
      <c r="D26" s="25" t="n">
        <f aca="false">D24-D25</f>
        <v>32.76075</v>
      </c>
      <c r="E26" s="25" t="n">
        <f aca="false">E24-E25</f>
        <v>43.16895</v>
      </c>
      <c r="F26" s="25" t="n">
        <f aca="false">F24-F25</f>
        <v>30.543678</v>
      </c>
      <c r="G26" s="25" t="n">
        <f aca="false">G24-G25</f>
        <v>18.62399</v>
      </c>
      <c r="H26" s="25" t="n">
        <f aca="false">H24-H25</f>
        <v>9.778065</v>
      </c>
      <c r="I26" s="25" t="n">
        <f aca="false">I24-I25</f>
        <v>6.007287</v>
      </c>
      <c r="J26" s="25" t="n">
        <f aca="false">J24-J25</f>
        <v>4.055854</v>
      </c>
      <c r="K26" s="25" t="n">
        <f aca="false">K24-K25</f>
        <v>2.048827</v>
      </c>
      <c r="L26" s="25" t="n">
        <f aca="false">L24-L25</f>
        <v>1.032251</v>
      </c>
      <c r="M26" s="25" t="n">
        <f aca="false">M24-M25</f>
        <v>1.03455</v>
      </c>
    </row>
    <row r="27" customFormat="false" ht="23.25" hidden="false" customHeight="true" outlineLevel="0" collapsed="false">
      <c r="B27" s="8" t="s">
        <v>324</v>
      </c>
      <c r="C27" s="54" t="s">
        <v>325</v>
      </c>
      <c r="D27" s="52" t="n">
        <v>45.6</v>
      </c>
      <c r="E27" s="52" t="n">
        <v>34.2</v>
      </c>
      <c r="F27" s="52" t="n">
        <v>17.1</v>
      </c>
      <c r="G27" s="52" t="n">
        <v>7.98</v>
      </c>
      <c r="H27" s="52" t="n">
        <v>4.56</v>
      </c>
      <c r="I27" s="52" t="n">
        <v>2.28</v>
      </c>
      <c r="J27" s="52" t="n">
        <v>1.14</v>
      </c>
      <c r="K27" s="52" t="n">
        <v>0.57</v>
      </c>
      <c r="L27" s="52" t="n">
        <v>0.57</v>
      </c>
      <c r="M27" s="52" t="n">
        <v>0</v>
      </c>
    </row>
    <row r="28" customFormat="false" ht="57.75" hidden="false" customHeight="true" outlineLevel="0" collapsed="false">
      <c r="A28" s="68" t="s">
        <v>326</v>
      </c>
      <c r="B28" s="72" t="s">
        <v>321</v>
      </c>
      <c r="C28" s="79" t="s">
        <v>327</v>
      </c>
      <c r="D28" s="23" t="n">
        <f aca="false">D27*(1-D16)</f>
        <v>21.774</v>
      </c>
      <c r="E28" s="23" t="n">
        <f aca="false">E27*(1-E16)</f>
        <v>10.602</v>
      </c>
      <c r="F28" s="23" t="n">
        <f aca="false">F27*(1-F16)</f>
        <v>3.18915</v>
      </c>
      <c r="G28" s="23" t="n">
        <f aca="false">G27*(1-G16)</f>
        <v>0.861840000000001</v>
      </c>
      <c r="H28" s="23" t="n">
        <f aca="false">H27*(1-H16)</f>
        <v>0.28956</v>
      </c>
      <c r="I28" s="23" t="n">
        <f aca="false">I27*(1-I16)</f>
        <v>0.0934799999999998</v>
      </c>
      <c r="J28" s="23" t="n">
        <f aca="false">J27*(1-J16)</f>
        <v>0.03306</v>
      </c>
      <c r="K28" s="23" t="n">
        <f aca="false">K27*(1-K16)</f>
        <v>0.01083</v>
      </c>
      <c r="L28" s="23" t="n">
        <f aca="false">L27*(1-L16)</f>
        <v>0.00683999999999994</v>
      </c>
      <c r="M28" s="23" t="n">
        <f aca="false">M27*(1-M16)</f>
        <v>0</v>
      </c>
    </row>
    <row r="29" customFormat="false" ht="15" hidden="false" customHeight="true" outlineLevel="0" collapsed="false">
      <c r="B29" s="54" t="s">
        <v>328</v>
      </c>
      <c r="D29" s="25" t="n">
        <f aca="false">D27-D28</f>
        <v>23.826</v>
      </c>
      <c r="E29" s="25" t="n">
        <f aca="false">E27-E28</f>
        <v>23.598</v>
      </c>
      <c r="F29" s="25" t="n">
        <f aca="false">F27-F28</f>
        <v>13.91085</v>
      </c>
      <c r="G29" s="25" t="n">
        <f aca="false">G27-G28</f>
        <v>7.11816</v>
      </c>
      <c r="H29" s="25" t="n">
        <f aca="false">H27-H28</f>
        <v>4.27044</v>
      </c>
      <c r="I29" s="25" t="n">
        <f aca="false">I27-I28</f>
        <v>2.18652</v>
      </c>
      <c r="J29" s="25" t="n">
        <f aca="false">J27-J28</f>
        <v>1.10694</v>
      </c>
      <c r="K29" s="25" t="n">
        <f aca="false">K27-K28</f>
        <v>0.55917</v>
      </c>
      <c r="L29" s="25" t="n">
        <f aca="false">L27-L28</f>
        <v>0.56316</v>
      </c>
      <c r="M29" s="25" t="n">
        <f aca="false">M27-M28</f>
        <v>0</v>
      </c>
    </row>
    <row r="30" customFormat="false" ht="23.25" hidden="false" customHeight="true" outlineLevel="0" collapsed="false">
      <c r="B30" s="11" t="s">
        <v>329</v>
      </c>
      <c r="C30" s="54" t="s">
        <v>330</v>
      </c>
      <c r="D30" s="52" t="n">
        <v>38</v>
      </c>
      <c r="E30" s="52" t="n">
        <v>45.6</v>
      </c>
      <c r="F30" s="52" t="n">
        <v>30.4</v>
      </c>
      <c r="G30" s="52" t="n">
        <v>15.2</v>
      </c>
      <c r="H30" s="52" t="n">
        <v>9.12</v>
      </c>
      <c r="I30" s="52" t="n">
        <v>6.08</v>
      </c>
      <c r="J30" s="52" t="n">
        <v>3.04</v>
      </c>
      <c r="K30" s="52" t="n">
        <v>2.28</v>
      </c>
      <c r="L30" s="52" t="n">
        <v>0.76</v>
      </c>
      <c r="M30" s="52" t="n">
        <v>0.76</v>
      </c>
    </row>
    <row r="31" customFormat="false" ht="34.5" hidden="false" customHeight="true" outlineLevel="0" collapsed="false">
      <c r="A31" s="68" t="s">
        <v>331</v>
      </c>
      <c r="B31" s="76" t="s">
        <v>321</v>
      </c>
      <c r="C31" s="79" t="s">
        <v>327</v>
      </c>
      <c r="D31" s="23" t="n">
        <f aca="false">D30*(1-D17)</f>
        <v>20.71</v>
      </c>
      <c r="E31" s="23" t="n">
        <f aca="false">E30*(1-E17)</f>
        <v>16.188</v>
      </c>
      <c r="F31" s="23" t="n">
        <f aca="false">F30*(1-F17)</f>
        <v>6.4752</v>
      </c>
      <c r="G31" s="23" t="n">
        <f aca="false">G30*(1-G17)</f>
        <v>1.8696</v>
      </c>
      <c r="H31" s="23" t="n">
        <f aca="false">H30*(1-H17)</f>
        <v>0.6612</v>
      </c>
      <c r="I31" s="23" t="n">
        <f aca="false">I30*(1-I17)</f>
        <v>0.27968</v>
      </c>
      <c r="J31" s="23" t="n">
        <f aca="false">J30*(1-J17)</f>
        <v>0.0972800000000001</v>
      </c>
      <c r="K31" s="23" t="n">
        <f aca="false">K30*(1-K17)</f>
        <v>0.05016</v>
      </c>
      <c r="L31" s="23" t="n">
        <f aca="false">L30*(1-L17)</f>
        <v>0.01064</v>
      </c>
      <c r="M31" s="23" t="n">
        <f aca="false">M30*(1-M17)</f>
        <v>0.00760000000000001</v>
      </c>
    </row>
    <row r="32" customFormat="false" ht="15" hidden="false" customHeight="true" outlineLevel="0" collapsed="false">
      <c r="B32" s="54" t="s">
        <v>332</v>
      </c>
      <c r="D32" s="25" t="n">
        <f aca="false">D30-D31</f>
        <v>17.29</v>
      </c>
      <c r="E32" s="25" t="n">
        <f aca="false">E30-E31</f>
        <v>29.412</v>
      </c>
      <c r="F32" s="25" t="n">
        <f aca="false">F30-F31</f>
        <v>23.9248</v>
      </c>
      <c r="G32" s="25" t="n">
        <f aca="false">G30-G31</f>
        <v>13.3304</v>
      </c>
      <c r="H32" s="25" t="n">
        <f aca="false">H30-H31</f>
        <v>8.4588</v>
      </c>
      <c r="I32" s="25" t="n">
        <f aca="false">I30-I31</f>
        <v>5.80032</v>
      </c>
      <c r="J32" s="25" t="n">
        <f aca="false">J30-J31</f>
        <v>2.94272</v>
      </c>
      <c r="K32" s="25" t="n">
        <f aca="false">K30-K31</f>
        <v>2.22984</v>
      </c>
      <c r="L32" s="25" t="n">
        <f aca="false">L30-L31</f>
        <v>0.74936</v>
      </c>
      <c r="M32" s="25" t="n">
        <f aca="false">M30-M31</f>
        <v>0.7524</v>
      </c>
    </row>
    <row r="33" customFormat="false" ht="23.25" hidden="false" customHeight="true" outlineLevel="0" collapsed="false">
      <c r="B33" s="8" t="s">
        <v>333</v>
      </c>
      <c r="C33" s="54" t="s">
        <v>334</v>
      </c>
      <c r="D33" s="52" t="n">
        <v>41.8</v>
      </c>
      <c r="E33" s="52" t="n">
        <v>78.375</v>
      </c>
      <c r="F33" s="52" t="n">
        <v>114.95</v>
      </c>
      <c r="G33" s="52" t="n">
        <v>114.95</v>
      </c>
      <c r="H33" s="52" t="n">
        <v>78.375</v>
      </c>
      <c r="I33" s="52" t="n">
        <v>41.8</v>
      </c>
      <c r="J33" s="52" t="n">
        <v>26.125</v>
      </c>
      <c r="K33" s="52" t="n">
        <v>15.675</v>
      </c>
      <c r="L33" s="52" t="n">
        <v>5.225</v>
      </c>
      <c r="M33" s="52" t="n">
        <v>5.225</v>
      </c>
    </row>
    <row r="34" customFormat="false" ht="34.5" hidden="false" customHeight="true" outlineLevel="0" collapsed="false">
      <c r="A34" s="68" t="s">
        <v>335</v>
      </c>
      <c r="B34" s="72" t="s">
        <v>321</v>
      </c>
      <c r="C34" s="79" t="s">
        <v>327</v>
      </c>
      <c r="D34" s="23" t="n">
        <f aca="false">D33*(1-D18)</f>
        <v>24.1395</v>
      </c>
      <c r="E34" s="23" t="n">
        <f aca="false">E33*(1-E18)</f>
        <v>29.390625</v>
      </c>
      <c r="F34" s="23" t="n">
        <f aca="false">F33*(1-F18)</f>
        <v>26.036175</v>
      </c>
      <c r="G34" s="23" t="n">
        <f aca="false">G33*(1-G18)</f>
        <v>15.28835</v>
      </c>
      <c r="H34" s="23" t="n">
        <f aca="false">H33*(1-H18)</f>
        <v>6.191625</v>
      </c>
      <c r="I34" s="23" t="n">
        <f aca="false">I33*(1-I18)</f>
        <v>2.1318</v>
      </c>
      <c r="J34" s="23" t="n">
        <f aca="false">J33*(1-J18)</f>
        <v>0.914375000000004</v>
      </c>
      <c r="K34" s="23" t="n">
        <f aca="false">K33*(1-K18)</f>
        <v>0.391874999999999</v>
      </c>
      <c r="L34" s="23" t="n">
        <f aca="false">L33*(1-L18)</f>
        <v>0.0836000000000001</v>
      </c>
      <c r="M34" s="23" t="n">
        <f aca="false">M33*(1-M18)</f>
        <v>0.05225</v>
      </c>
    </row>
    <row r="35" customFormat="false" ht="15" hidden="false" customHeight="true" outlineLevel="0" collapsed="false">
      <c r="B35" s="54" t="s">
        <v>336</v>
      </c>
      <c r="D35" s="25" t="n">
        <f aca="false">D33-D34</f>
        <v>17.6605</v>
      </c>
      <c r="E35" s="25" t="n">
        <f aca="false">E33-E34</f>
        <v>48.984375</v>
      </c>
      <c r="F35" s="25" t="n">
        <f aca="false">F33-F34</f>
        <v>88.913825</v>
      </c>
      <c r="G35" s="25" t="n">
        <f aca="false">G33-G34</f>
        <v>99.66165</v>
      </c>
      <c r="H35" s="25" t="n">
        <f aca="false">H33-H34</f>
        <v>72.183375</v>
      </c>
      <c r="I35" s="25" t="n">
        <f aca="false">I33-I34</f>
        <v>39.6682</v>
      </c>
      <c r="J35" s="25" t="n">
        <f aca="false">J33-J34</f>
        <v>25.210625</v>
      </c>
      <c r="K35" s="25" t="n">
        <f aca="false">K33-K34</f>
        <v>15.283125</v>
      </c>
      <c r="L35" s="25" t="n">
        <f aca="false">L33-L34</f>
        <v>5.1414</v>
      </c>
      <c r="M35" s="25" t="n">
        <f aca="false">M33-M34</f>
        <v>5.17275</v>
      </c>
    </row>
    <row r="36" customFormat="false" ht="23.25" hidden="false" customHeight="true" outlineLevel="0" collapsed="false">
      <c r="B36" s="12" t="s">
        <v>337</v>
      </c>
      <c r="C36" s="54" t="s">
        <v>338</v>
      </c>
      <c r="D36" s="52" t="n">
        <v>37.05</v>
      </c>
      <c r="E36" s="52" t="n">
        <v>61.75</v>
      </c>
      <c r="F36" s="52" t="n">
        <v>54.34</v>
      </c>
      <c r="G36" s="52" t="n">
        <v>37.05</v>
      </c>
      <c r="H36" s="52" t="n">
        <v>24.7</v>
      </c>
      <c r="I36" s="52" t="n">
        <v>14.82</v>
      </c>
      <c r="J36" s="52" t="n">
        <v>9.88</v>
      </c>
      <c r="K36" s="52" t="n">
        <v>4.94</v>
      </c>
      <c r="L36" s="52" t="n">
        <v>1.235</v>
      </c>
      <c r="M36" s="52" t="n">
        <v>1.235</v>
      </c>
    </row>
    <row r="37" customFormat="false" ht="15" hidden="false" customHeight="true" outlineLevel="0" collapsed="false">
      <c r="A37" s="68" t="s">
        <v>339</v>
      </c>
      <c r="B37" s="77" t="s">
        <v>321</v>
      </c>
      <c r="C37" s="79" t="s">
        <v>327</v>
      </c>
      <c r="D37" s="23" t="n">
        <f aca="false">D36*(1-D19)</f>
        <v>21.67425</v>
      </c>
      <c r="E37" s="23" t="n">
        <f aca="false">E36*(1-E19)</f>
        <v>23.465</v>
      </c>
      <c r="F37" s="23" t="n">
        <f aca="false">F36*(1-F19)</f>
        <v>12.44386</v>
      </c>
      <c r="G37" s="23" t="n">
        <f aca="false">G36*(1-G19)</f>
        <v>4.9647</v>
      </c>
      <c r="H37" s="23" t="n">
        <f aca="false">H36*(1-H19)</f>
        <v>1.96365</v>
      </c>
      <c r="I37" s="23" t="n">
        <f aca="false">I36*(1-I19)</f>
        <v>0.755820000000001</v>
      </c>
      <c r="J37" s="23" t="n">
        <f aca="false">J36*(1-J19)</f>
        <v>0.3458</v>
      </c>
      <c r="K37" s="23" t="n">
        <f aca="false">K36*(1-K19)</f>
        <v>0.123500000000001</v>
      </c>
      <c r="L37" s="23" t="n">
        <f aca="false">L36*(1-L19)</f>
        <v>0.01976</v>
      </c>
      <c r="M37" s="23" t="n">
        <f aca="false">M36*(1-M19)</f>
        <v>0.01235</v>
      </c>
    </row>
    <row r="38" customFormat="false" ht="15" hidden="false" customHeight="true" outlineLevel="0" collapsed="false">
      <c r="B38" s="54" t="s">
        <v>340</v>
      </c>
      <c r="D38" s="25" t="n">
        <f aca="false">D36-D37</f>
        <v>15.37575</v>
      </c>
      <c r="E38" s="25" t="n">
        <f aca="false">E36-E37</f>
        <v>38.285</v>
      </c>
      <c r="F38" s="25" t="n">
        <f aca="false">F36-F37</f>
        <v>41.89614</v>
      </c>
      <c r="G38" s="25" t="n">
        <f aca="false">G36-G37</f>
        <v>32.0853</v>
      </c>
      <c r="H38" s="25" t="n">
        <f aca="false">H36-H37</f>
        <v>22.73635</v>
      </c>
      <c r="I38" s="25" t="n">
        <f aca="false">I36-I37</f>
        <v>14.06418</v>
      </c>
      <c r="J38" s="25" t="n">
        <f aca="false">J36-J37</f>
        <v>9.5342</v>
      </c>
      <c r="K38" s="25" t="n">
        <f aca="false">K36-K37</f>
        <v>4.8165</v>
      </c>
      <c r="L38" s="25" t="n">
        <f aca="false">L36-L37</f>
        <v>1.21524</v>
      </c>
      <c r="M38" s="25" t="n">
        <f aca="false">M36-M37</f>
        <v>1.22265</v>
      </c>
    </row>
    <row r="39" customFormat="false" ht="23.25" hidden="false" customHeight="true" outlineLevel="0" collapsed="false">
      <c r="B39" s="13" t="s">
        <v>341</v>
      </c>
      <c r="C39" s="54" t="s">
        <v>342</v>
      </c>
      <c r="D39" s="52" t="n">
        <v>36.575</v>
      </c>
      <c r="E39" s="52" t="n">
        <v>26.125</v>
      </c>
      <c r="F39" s="52" t="n">
        <v>15.675</v>
      </c>
      <c r="G39" s="52" t="n">
        <v>10.45</v>
      </c>
      <c r="H39" s="52" t="n">
        <v>6.27</v>
      </c>
      <c r="I39" s="52" t="n">
        <v>4.18</v>
      </c>
      <c r="J39" s="52" t="n">
        <v>3.135</v>
      </c>
      <c r="K39" s="52" t="n">
        <v>1.5675</v>
      </c>
      <c r="L39" s="52" t="n">
        <v>0.5225</v>
      </c>
      <c r="M39" s="52" t="n">
        <v>0.5225</v>
      </c>
    </row>
    <row r="40" customFormat="false" ht="34.5" hidden="false" customHeight="true" outlineLevel="0" collapsed="false">
      <c r="A40" s="68" t="s">
        <v>343</v>
      </c>
      <c r="B40" s="78" t="s">
        <v>321</v>
      </c>
      <c r="C40" s="79" t="s">
        <v>327</v>
      </c>
      <c r="D40" s="23" t="n">
        <f aca="false">D39*(1-D20)</f>
        <v>23.590875</v>
      </c>
      <c r="E40" s="23" t="n">
        <f aca="false">E39*(1-E20)</f>
        <v>10.9725</v>
      </c>
      <c r="F40" s="23" t="n">
        <f aca="false">F39*(1-F20)</f>
        <v>3.91875</v>
      </c>
      <c r="G40" s="23" t="n">
        <f aca="false">G39*(1-G20)</f>
        <v>1.499575</v>
      </c>
      <c r="H40" s="23" t="n">
        <f aca="false">H39*(1-H20)</f>
        <v>0.529815</v>
      </c>
      <c r="I40" s="23" t="n">
        <f aca="false">I39*(1-I20)</f>
        <v>0.21736</v>
      </c>
      <c r="J40" s="23" t="n">
        <f aca="false">J39*(1-J20)</f>
        <v>0.1112925</v>
      </c>
      <c r="K40" s="23" t="n">
        <f aca="false">K39*(1-K20)</f>
        <v>0.0399712500000001</v>
      </c>
      <c r="L40" s="23" t="n">
        <f aca="false">L39*(1-L20)</f>
        <v>0.00862124999999998</v>
      </c>
      <c r="M40" s="23" t="n">
        <f aca="false">M39*(1-M20)</f>
        <v>0.005225</v>
      </c>
    </row>
    <row r="41" customFormat="false" ht="15" hidden="false" customHeight="true" outlineLevel="0" collapsed="false">
      <c r="B41" s="54" t="s">
        <v>344</v>
      </c>
      <c r="D41" s="25" t="n">
        <f aca="false">D39-D40</f>
        <v>12.984125</v>
      </c>
      <c r="E41" s="25" t="n">
        <f aca="false">E39-E40</f>
        <v>15.1525</v>
      </c>
      <c r="F41" s="25" t="n">
        <f aca="false">F39-F40</f>
        <v>11.75625</v>
      </c>
      <c r="G41" s="25" t="n">
        <f aca="false">G39-G40</f>
        <v>8.950425</v>
      </c>
      <c r="H41" s="25" t="n">
        <f aca="false">H39-H40</f>
        <v>5.740185</v>
      </c>
      <c r="I41" s="25" t="n">
        <f aca="false">I39-I40</f>
        <v>3.96264</v>
      </c>
      <c r="J41" s="25" t="n">
        <f aca="false">J39-J40</f>
        <v>3.0237075</v>
      </c>
      <c r="K41" s="25" t="n">
        <f aca="false">K39-K40</f>
        <v>1.52752875</v>
      </c>
      <c r="L41" s="25" t="n">
        <f aca="false">L39-L40</f>
        <v>0.51387875</v>
      </c>
      <c r="M41" s="25" t="n">
        <f aca="false">M39-M40</f>
        <v>0.517275</v>
      </c>
    </row>
    <row r="43" customFormat="false" ht="21.75" hidden="false" customHeight="true" outlineLevel="0" collapsed="false">
      <c r="B43" s="6" t="s">
        <v>345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80"/>
    </row>
    <row r="44" customFormat="false" ht="15" hidden="false" customHeight="true" outlineLevel="0" collapsed="false">
      <c r="B44" s="81" t="s">
        <v>346</v>
      </c>
      <c r="C44" s="81"/>
      <c r="D44" s="21" t="s">
        <v>30</v>
      </c>
      <c r="E44" s="21" t="s">
        <v>25</v>
      </c>
      <c r="F44" s="21" t="s">
        <v>44</v>
      </c>
      <c r="G44" s="21" t="s">
        <v>39</v>
      </c>
      <c r="H44" s="21" t="s">
        <v>58</v>
      </c>
      <c r="I44" s="21" t="s">
        <v>59</v>
      </c>
      <c r="J44" s="21" t="s">
        <v>60</v>
      </c>
      <c r="K44" s="21" t="s">
        <v>61</v>
      </c>
      <c r="L44" s="21" t="s">
        <v>62</v>
      </c>
      <c r="M44" s="21" t="s">
        <v>63</v>
      </c>
    </row>
    <row r="45" customFormat="false" ht="15" hidden="false" customHeight="true" outlineLevel="0" collapsed="false">
      <c r="B45" s="82" t="s">
        <v>347</v>
      </c>
      <c r="C45" s="82"/>
      <c r="D45" s="55" t="n">
        <f aca="false">D24+D27+D30+D33+D36+D39</f>
        <v>261.725</v>
      </c>
      <c r="E45" s="55" t="n">
        <f aca="false">E24+E27+E30+E33+E36+E39</f>
        <v>308.75</v>
      </c>
      <c r="F45" s="55" t="n">
        <f aca="false">F24+F27+F30+F33+F36+F39</f>
        <v>270.085</v>
      </c>
      <c r="G45" s="55" t="n">
        <f aca="false">G24+G27+G30+G33+G36+G39</f>
        <v>206.53</v>
      </c>
      <c r="H45" s="55" t="n">
        <f aca="false">H24+H27+H30+H33+H36+H39</f>
        <v>133.475</v>
      </c>
      <c r="I45" s="55" t="n">
        <f aca="false">I24+I27+I30+I33+I36+I39</f>
        <v>75.43</v>
      </c>
      <c r="J45" s="55" t="n">
        <f aca="false">J24+J27+J30+J33+J36+J39</f>
        <v>47.5</v>
      </c>
      <c r="K45" s="55" t="n">
        <f aca="false">K24+K27+K30+K33+K36+K39</f>
        <v>27.1225</v>
      </c>
      <c r="L45" s="55" t="n">
        <f aca="false">L24+L27+L30+L33+L36+L39</f>
        <v>9.3575</v>
      </c>
      <c r="M45" s="55" t="n">
        <f aca="false">M24+M27+M30+M33+M36+M39</f>
        <v>8.7875</v>
      </c>
    </row>
    <row r="46" customFormat="false" ht="15" hidden="false" customHeight="true" outlineLevel="0" collapsed="false">
      <c r="B46" s="82" t="s">
        <v>348</v>
      </c>
      <c r="C46" s="82"/>
      <c r="D46" s="55" t="n">
        <f aca="false">D25+D28+D31+D34+D37+D40</f>
        <v>141.827875</v>
      </c>
      <c r="E46" s="55" t="n">
        <f aca="false">E25+E28+E31+E34+E37+E40</f>
        <v>110.149175</v>
      </c>
      <c r="F46" s="55" t="n">
        <f aca="false">F25+F28+F31+F34+F37+F40</f>
        <v>59.139457</v>
      </c>
      <c r="G46" s="55" t="n">
        <f aca="false">G25+G28+G31+G34+G37+G40</f>
        <v>26.760075</v>
      </c>
      <c r="H46" s="55" t="n">
        <f aca="false">H25+H28+H31+H34+H37+H40</f>
        <v>10.307785</v>
      </c>
      <c r="I46" s="55" t="n">
        <f aca="false">I25+I28+I31+I34+I37+I40</f>
        <v>3.740853</v>
      </c>
      <c r="J46" s="55" t="n">
        <f aca="false">J25+J28+J31+J34+J37+J40</f>
        <v>1.6259535</v>
      </c>
      <c r="K46" s="55" t="n">
        <f aca="false">K25+K28+K31+K34+K37+K40</f>
        <v>0.657509249999999</v>
      </c>
      <c r="L46" s="55" t="n">
        <f aca="false">L25+L28+L31+L34+L37+L40</f>
        <v>0.14221025</v>
      </c>
      <c r="M46" s="55" t="n">
        <f aca="false">M25+M28+M31+M34+M37+M40</f>
        <v>0.087875</v>
      </c>
    </row>
    <row r="47" customFormat="false" ht="15" hidden="false" customHeight="true" outlineLevel="0" collapsed="false">
      <c r="B47" s="83" t="s">
        <v>349</v>
      </c>
      <c r="C47" s="83"/>
      <c r="D47" s="55" t="n">
        <f aca="false">D45-D46</f>
        <v>119.897125</v>
      </c>
      <c r="E47" s="55" t="n">
        <f aca="false">E45-E46</f>
        <v>198.600825</v>
      </c>
      <c r="F47" s="55" t="n">
        <f aca="false">F45-F46</f>
        <v>210.945543</v>
      </c>
      <c r="G47" s="55" t="n">
        <f aca="false">G45-G46</f>
        <v>179.769925</v>
      </c>
      <c r="H47" s="55" t="n">
        <f aca="false">H45-H46</f>
        <v>123.167215</v>
      </c>
      <c r="I47" s="55" t="n">
        <f aca="false">I45-I46</f>
        <v>71.689147</v>
      </c>
      <c r="J47" s="55" t="n">
        <f aca="false">J45-J46</f>
        <v>45.8740465</v>
      </c>
      <c r="K47" s="55" t="n">
        <f aca="false">K45-K46</f>
        <v>26.46499075</v>
      </c>
      <c r="L47" s="55" t="n">
        <f aca="false">L45-L46</f>
        <v>9.21528975</v>
      </c>
      <c r="M47" s="55" t="n">
        <f aca="false">M45-M46</f>
        <v>8.699625</v>
      </c>
    </row>
    <row r="48" customFormat="false" ht="15" hidden="false" customHeight="true" outlineLevel="0" collapsed="false">
      <c r="B48" s="82" t="s">
        <v>350</v>
      </c>
      <c r="C48" s="82"/>
      <c r="D48" s="55" t="n">
        <f aca="false">Platform!D11</f>
        <v>101</v>
      </c>
      <c r="E48" s="55" t="n">
        <f aca="false">Platform!E11</f>
        <v>210</v>
      </c>
      <c r="F48" s="55" t="n">
        <f aca="false">Platform!F11</f>
        <v>107</v>
      </c>
      <c r="G48" s="55" t="n">
        <f aca="false">Platform!G11</f>
        <v>69</v>
      </c>
      <c r="H48" s="55" t="n">
        <f aca="false">Platform!H11</f>
        <v>38</v>
      </c>
      <c r="I48" s="55" t="n">
        <f aca="false">Platform!I11</f>
        <v>20.5</v>
      </c>
      <c r="J48" s="55" t="n">
        <f aca="false">Platform!J11</f>
        <v>11.3</v>
      </c>
      <c r="K48" s="55" t="n">
        <f aca="false">Platform!K11</f>
        <v>8.4</v>
      </c>
      <c r="L48" s="55" t="n">
        <f aca="false">Platform!L11</f>
        <v>6.9</v>
      </c>
      <c r="M48" s="55" t="n">
        <f aca="false">Platform!M11</f>
        <v>3.1</v>
      </c>
    </row>
    <row r="49" customFormat="false" ht="15" hidden="false" customHeight="true" outlineLevel="0" collapsed="false">
      <c r="B49" s="84" t="s">
        <v>351</v>
      </c>
      <c r="C49" s="84"/>
      <c r="D49" s="85" t="n">
        <f aca="false">D46+D48</f>
        <v>242.827875</v>
      </c>
      <c r="E49" s="85" t="n">
        <f aca="false">E46+E48</f>
        <v>320.149175</v>
      </c>
      <c r="F49" s="85" t="n">
        <f aca="false">F46+F48</f>
        <v>166.139457</v>
      </c>
      <c r="G49" s="85" t="n">
        <f aca="false">G46+G48</f>
        <v>95.760075</v>
      </c>
      <c r="H49" s="85" t="n">
        <f aca="false">H46+H48</f>
        <v>48.307785</v>
      </c>
      <c r="I49" s="85" t="n">
        <f aca="false">I46+I48</f>
        <v>24.240853</v>
      </c>
      <c r="J49" s="85" t="n">
        <f aca="false">J46+J48</f>
        <v>12.9259535</v>
      </c>
      <c r="K49" s="85" t="n">
        <f aca="false">K46+K48</f>
        <v>9.05750925</v>
      </c>
      <c r="L49" s="85" t="n">
        <f aca="false">L46+L48</f>
        <v>7.04221025</v>
      </c>
      <c r="M49" s="85" t="n">
        <f aca="false">M46+M48</f>
        <v>3.187875</v>
      </c>
    </row>
  </sheetData>
  <mergeCells count="11">
    <mergeCell ref="B2:N2"/>
    <mergeCell ref="B4:N4"/>
    <mergeCell ref="B13:N13"/>
    <mergeCell ref="B22:N22"/>
    <mergeCell ref="B43:M43"/>
    <mergeCell ref="B44:C44"/>
    <mergeCell ref="B45:C45"/>
    <mergeCell ref="B46:C46"/>
    <mergeCell ref="B47:C47"/>
    <mergeCell ref="B48:C48"/>
    <mergeCell ref="B49:C4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D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0" activePane="bottomRight" state="frozen"/>
      <selection pane="topLeft" activeCell="A1" activeCellId="0" sqref="A1"/>
      <selection pane="topRight" activeCell="D1" activeCellId="0" sqref="D1"/>
      <selection pane="bottomLeft" activeCell="A50" activeCellId="0" sqref="A50"/>
      <selection pane="bottomRight" activeCell="A57" activeCellId="0" sqref="A5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68" width="24.9"/>
    <col collapsed="false" customWidth="true" hidden="false" outlineLevel="0" max="2" min="2" style="1" width="42"/>
    <col collapsed="false" customWidth="true" hidden="false" outlineLevel="0" max="3" min="3" style="1" width="18"/>
    <col collapsed="false" customWidth="true" hidden="false" outlineLevel="0" max="4" min="4" style="1" width="70"/>
  </cols>
  <sheetData>
    <row r="2" customFormat="false" ht="21.75" hidden="false" customHeight="true" outlineLevel="0" collapsed="false">
      <c r="B2" s="19" t="s">
        <v>352</v>
      </c>
      <c r="C2" s="19"/>
      <c r="D2" s="19"/>
    </row>
    <row r="3" customFormat="false" ht="15" hidden="false" customHeight="true" outlineLevel="0" collapsed="false">
      <c r="B3" s="20" t="s">
        <v>318</v>
      </c>
      <c r="C3" s="20" t="s">
        <v>353</v>
      </c>
      <c r="D3" s="20" t="s">
        <v>117</v>
      </c>
    </row>
    <row r="4" customFormat="false" ht="23.25" hidden="false" customHeight="true" outlineLevel="0" collapsed="false">
      <c r="B4" s="9" t="s">
        <v>354</v>
      </c>
      <c r="C4" s="86" t="s">
        <v>355</v>
      </c>
      <c r="D4" s="54" t="s">
        <v>356</v>
      </c>
    </row>
    <row r="5" customFormat="false" ht="15" hidden="false" customHeight="true" outlineLevel="0" collapsed="false">
      <c r="B5" s="9" t="s">
        <v>357</v>
      </c>
      <c r="C5" s="87" t="n">
        <v>10</v>
      </c>
      <c r="D5" s="54" t="s">
        <v>358</v>
      </c>
    </row>
    <row r="6" customFormat="false" ht="15" hidden="false" customHeight="true" outlineLevel="0" collapsed="false">
      <c r="B6" s="9" t="s">
        <v>359</v>
      </c>
      <c r="C6" s="88" t="n">
        <v>0.25</v>
      </c>
      <c r="D6" s="54" t="s">
        <v>360</v>
      </c>
    </row>
    <row r="7" customFormat="false" ht="15" hidden="false" customHeight="true" outlineLevel="0" collapsed="false">
      <c r="B7" s="9" t="s">
        <v>361</v>
      </c>
      <c r="C7" s="88" t="n">
        <v>0.18</v>
      </c>
      <c r="D7" s="54" t="s">
        <v>362</v>
      </c>
    </row>
    <row r="8" customFormat="false" ht="15" hidden="false" customHeight="true" outlineLevel="0" collapsed="false">
      <c r="B8" s="9" t="s">
        <v>363</v>
      </c>
      <c r="C8" s="88" t="n">
        <v>0.04</v>
      </c>
      <c r="D8" s="54" t="s">
        <v>364</v>
      </c>
    </row>
    <row r="9" customFormat="false" ht="23.25" hidden="false" customHeight="true" outlineLevel="0" collapsed="false">
      <c r="B9" s="9" t="s">
        <v>365</v>
      </c>
      <c r="C9" s="88" t="n">
        <v>0.04</v>
      </c>
      <c r="D9" s="54" t="s">
        <v>366</v>
      </c>
    </row>
    <row r="10" customFormat="false" ht="15" hidden="false" customHeight="true" outlineLevel="0" collapsed="false">
      <c r="B10" s="9" t="s">
        <v>367</v>
      </c>
      <c r="C10" s="88" t="n">
        <v>0.92</v>
      </c>
      <c r="D10" s="54" t="s">
        <v>368</v>
      </c>
    </row>
    <row r="11" customFormat="false" ht="15" hidden="false" customHeight="true" outlineLevel="0" collapsed="false">
      <c r="B11" s="9" t="s">
        <v>369</v>
      </c>
      <c r="C11" s="87" t="n">
        <v>180</v>
      </c>
      <c r="D11" s="54" t="s">
        <v>370</v>
      </c>
    </row>
    <row r="12" customFormat="false" ht="15" hidden="false" customHeight="true" outlineLevel="0" collapsed="false">
      <c r="B12" s="9" t="s">
        <v>371</v>
      </c>
      <c r="C12" s="87" t="n">
        <v>45</v>
      </c>
      <c r="D12" s="54" t="s">
        <v>372</v>
      </c>
    </row>
    <row r="13" customFormat="false" ht="15" hidden="false" customHeight="true" outlineLevel="0" collapsed="false">
      <c r="B13" s="9" t="s">
        <v>373</v>
      </c>
      <c r="C13" s="87" t="n">
        <v>90</v>
      </c>
      <c r="D13" s="54" t="s">
        <v>374</v>
      </c>
    </row>
    <row r="14" customFormat="false" ht="30.75" hidden="false" customHeight="true" outlineLevel="0" collapsed="false">
      <c r="B14" s="9" t="s">
        <v>375</v>
      </c>
      <c r="C14" s="88"/>
      <c r="D14" s="54" t="s">
        <v>376</v>
      </c>
    </row>
    <row r="15" customFormat="false" ht="15" hidden="false" customHeight="true" outlineLevel="0" collapsed="false">
      <c r="B15" s="9" t="s">
        <v>377</v>
      </c>
      <c r="C15" s="88" t="n">
        <v>0.08</v>
      </c>
      <c r="D15" s="54" t="s">
        <v>378</v>
      </c>
    </row>
    <row r="16" customFormat="false" ht="15" hidden="false" customHeight="true" outlineLevel="0" collapsed="false">
      <c r="B16" s="9" t="s">
        <v>379</v>
      </c>
      <c r="C16" s="88" t="n">
        <v>0.07</v>
      </c>
      <c r="D16" s="54" t="s">
        <v>380</v>
      </c>
    </row>
    <row r="17" customFormat="false" ht="15" hidden="false" customHeight="true" outlineLevel="0" collapsed="false">
      <c r="B17" s="9" t="s">
        <v>381</v>
      </c>
      <c r="C17" s="88" t="n">
        <v>0.03</v>
      </c>
      <c r="D17" s="54" t="s">
        <v>382</v>
      </c>
    </row>
    <row r="18" customFormat="false" ht="15" hidden="false" customHeight="true" outlineLevel="0" collapsed="false">
      <c r="B18" s="9" t="s">
        <v>383</v>
      </c>
      <c r="C18" s="52" t="n">
        <v>2</v>
      </c>
      <c r="D18" s="54" t="s">
        <v>384</v>
      </c>
    </row>
    <row r="19" customFormat="false" ht="15" hidden="false" customHeight="true" outlineLevel="0" collapsed="false">
      <c r="B19" s="9" t="s">
        <v>385</v>
      </c>
      <c r="C19" s="52" t="n">
        <v>14.25</v>
      </c>
      <c r="D19" s="54" t="s">
        <v>384</v>
      </c>
    </row>
    <row r="20" customFormat="false" ht="15" hidden="false" customHeight="true" outlineLevel="0" collapsed="false">
      <c r="B20" s="9" t="s">
        <v>386</v>
      </c>
      <c r="C20" s="52" t="n">
        <v>8.55</v>
      </c>
      <c r="D20" s="54" t="s">
        <v>384</v>
      </c>
    </row>
    <row r="21" customFormat="false" ht="15" hidden="false" customHeight="true" outlineLevel="0" collapsed="false">
      <c r="B21" s="9" t="s">
        <v>387</v>
      </c>
      <c r="C21" s="88" t="n">
        <v>0.03</v>
      </c>
      <c r="D21" s="54" t="s">
        <v>388</v>
      </c>
    </row>
    <row r="22" customFormat="false" ht="15" hidden="false" customHeight="true" outlineLevel="0" collapsed="false">
      <c r="B22" s="9" t="s">
        <v>389</v>
      </c>
      <c r="C22" s="88" t="n">
        <v>0.15</v>
      </c>
      <c r="D22" s="54" t="s">
        <v>390</v>
      </c>
    </row>
    <row r="23" customFormat="false" ht="15" hidden="false" customHeight="true" outlineLevel="0" collapsed="false">
      <c r="B23" s="9" t="s">
        <v>391</v>
      </c>
      <c r="C23" s="88" t="n">
        <v>0.011</v>
      </c>
      <c r="D23" s="54" t="s">
        <v>392</v>
      </c>
    </row>
    <row r="24" customFormat="false" ht="15" hidden="false" customHeight="true" outlineLevel="0" collapsed="false">
      <c r="B24" s="9" t="s">
        <v>393</v>
      </c>
      <c r="C24" s="88" t="s">
        <v>394</v>
      </c>
      <c r="D24" s="54" t="s">
        <v>395</v>
      </c>
    </row>
    <row r="25" customFormat="false" ht="15" hidden="false" customHeight="true" outlineLevel="0" collapsed="false">
      <c r="B25" s="9" t="s">
        <v>396</v>
      </c>
      <c r="C25" s="52" t="n">
        <v>100</v>
      </c>
      <c r="D25" s="54" t="s">
        <v>397</v>
      </c>
    </row>
    <row r="26" customFormat="false" ht="15" hidden="false" customHeight="true" outlineLevel="0" collapsed="false">
      <c r="B26" s="9" t="s">
        <v>398</v>
      </c>
      <c r="C26" s="56" t="n">
        <v>1</v>
      </c>
      <c r="D26" s="54" t="s">
        <v>399</v>
      </c>
    </row>
    <row r="28" customFormat="false" ht="21.75" hidden="false" customHeight="true" outlineLevel="0" collapsed="false">
      <c r="B28" s="6" t="s">
        <v>400</v>
      </c>
      <c r="C28" s="6"/>
      <c r="D28" s="6"/>
    </row>
    <row r="29" customFormat="false" ht="32.25" hidden="false" customHeight="true" outlineLevel="0" collapsed="false">
      <c r="A29" s="68" t="s">
        <v>401</v>
      </c>
      <c r="B29" s="4" t="s">
        <v>402</v>
      </c>
      <c r="C29" s="5" t="n">
        <v>0.5</v>
      </c>
      <c r="D29" s="5"/>
    </row>
    <row r="30" customFormat="false" ht="46.5" hidden="false" customHeight="true" outlineLevel="0" collapsed="false">
      <c r="A30" s="68" t="s">
        <v>403</v>
      </c>
      <c r="B30" s="4" t="s">
        <v>404</v>
      </c>
      <c r="C30" s="5" t="n">
        <v>0.7</v>
      </c>
      <c r="D30" s="5"/>
    </row>
    <row r="31" customFormat="false" ht="27.75" hidden="false" customHeight="true" outlineLevel="0" collapsed="false">
      <c r="B31" s="4" t="s">
        <v>405</v>
      </c>
      <c r="C31" s="5" t="s">
        <v>406</v>
      </c>
      <c r="D31" s="5"/>
    </row>
    <row r="32" customFormat="false" ht="27.75" hidden="false" customHeight="true" outlineLevel="0" collapsed="false">
      <c r="B32" s="4" t="s">
        <v>407</v>
      </c>
      <c r="C32" s="5" t="s">
        <v>408</v>
      </c>
      <c r="D32" s="5"/>
    </row>
    <row r="33" customFormat="false" ht="27.75" hidden="false" customHeight="true" outlineLevel="0" collapsed="false">
      <c r="B33" s="4" t="s">
        <v>409</v>
      </c>
      <c r="C33" s="5" t="s">
        <v>410</v>
      </c>
      <c r="D33" s="5"/>
    </row>
    <row r="34" customFormat="false" ht="27.75" hidden="false" customHeight="true" outlineLevel="0" collapsed="false">
      <c r="B34" s="4" t="s">
        <v>411</v>
      </c>
      <c r="C34" s="5" t="s">
        <v>412</v>
      </c>
      <c r="D34" s="5"/>
    </row>
    <row r="35" customFormat="false" ht="27.75" hidden="false" customHeight="true" outlineLevel="0" collapsed="false">
      <c r="B35" s="4" t="s">
        <v>413</v>
      </c>
      <c r="C35" s="5" t="s">
        <v>414</v>
      </c>
      <c r="D35" s="5"/>
    </row>
    <row r="36" customFormat="false" ht="27.75" hidden="false" customHeight="true" outlineLevel="0" collapsed="false">
      <c r="B36" s="4" t="s">
        <v>415</v>
      </c>
      <c r="C36" s="5" t="s">
        <v>416</v>
      </c>
      <c r="D36" s="5"/>
    </row>
    <row r="37" customFormat="false" ht="15" hidden="false" customHeight="true" outlineLevel="0" collapsed="false">
      <c r="B37" s="1" t="s">
        <v>417</v>
      </c>
      <c r="C37" s="1" t="n">
        <v>0.15</v>
      </c>
      <c r="D37" s="1" t="s">
        <v>418</v>
      </c>
    </row>
    <row r="38" customFormat="false" ht="15" hidden="false" customHeight="true" outlineLevel="0" collapsed="false">
      <c r="B38" s="1" t="s">
        <v>419</v>
      </c>
      <c r="C38" s="1" t="s">
        <v>420</v>
      </c>
      <c r="D38" s="1" t="s">
        <v>421</v>
      </c>
    </row>
    <row r="39" customFormat="false" ht="15" hidden="false" customHeight="true" outlineLevel="0" collapsed="false">
      <c r="B39" s="1" t="s">
        <v>422</v>
      </c>
      <c r="C39" s="1" t="n">
        <v>0.5</v>
      </c>
      <c r="D39" s="1" t="s">
        <v>423</v>
      </c>
    </row>
    <row r="40" customFormat="false" ht="15" hidden="false" customHeight="true" outlineLevel="0" collapsed="false">
      <c r="B40" s="1" t="s">
        <v>424</v>
      </c>
      <c r="C40" s="1" t="n">
        <v>0.7</v>
      </c>
      <c r="D40" s="1" t="s">
        <v>425</v>
      </c>
    </row>
    <row r="41" customFormat="false" ht="15" hidden="false" customHeight="true" outlineLevel="0" collapsed="false">
      <c r="B41" s="1" t="s">
        <v>426</v>
      </c>
      <c r="C41" s="1" t="n">
        <v>2</v>
      </c>
      <c r="D41" s="1" t="s">
        <v>427</v>
      </c>
    </row>
    <row r="42" customFormat="false" ht="15" hidden="false" customHeight="true" outlineLevel="0" collapsed="false">
      <c r="B42" s="1" t="s">
        <v>428</v>
      </c>
      <c r="C42" s="1" t="n">
        <v>95</v>
      </c>
      <c r="D42" s="1" t="s">
        <v>429</v>
      </c>
    </row>
    <row r="43" customFormat="false" ht="15" hidden="false" customHeight="true" outlineLevel="0" collapsed="false">
      <c r="B43" s="1" t="s">
        <v>430</v>
      </c>
      <c r="C43" s="1" t="n">
        <v>12</v>
      </c>
      <c r="D43" s="1" t="s">
        <v>431</v>
      </c>
    </row>
    <row r="44" customFormat="false" ht="15" hidden="false" customHeight="true" outlineLevel="0" collapsed="false">
      <c r="B44" s="1" t="s">
        <v>432</v>
      </c>
      <c r="C44" s="1" t="s">
        <v>433</v>
      </c>
      <c r="D44" s="1" t="s">
        <v>434</v>
      </c>
    </row>
    <row r="45" customFormat="false" ht="15" hidden="false" customHeight="true" outlineLevel="0" collapsed="false">
      <c r="B45" s="1" t="s">
        <v>435</v>
      </c>
      <c r="C45" s="1" t="n">
        <v>1</v>
      </c>
      <c r="D45" s="1" t="s">
        <v>436</v>
      </c>
    </row>
    <row r="46" customFormat="false" ht="15" hidden="false" customHeight="true" outlineLevel="0" collapsed="false">
      <c r="B46" s="1" t="s">
        <v>437</v>
      </c>
      <c r="C46" s="1" t="n">
        <v>2</v>
      </c>
      <c r="D46" s="1" t="s">
        <v>438</v>
      </c>
    </row>
    <row r="48" customFormat="false" ht="15" hidden="false" customHeight="true" outlineLevel="0" collapsed="false">
      <c r="B48" s="1" t="s">
        <v>439</v>
      </c>
    </row>
    <row r="49" customFormat="false" ht="15" hidden="false" customHeight="true" outlineLevel="0" collapsed="false">
      <c r="B49" s="1" t="s">
        <v>440</v>
      </c>
      <c r="C49" s="1" t="n">
        <v>15</v>
      </c>
      <c r="D49" s="1" t="s">
        <v>441</v>
      </c>
    </row>
    <row r="50" customFormat="false" ht="15" hidden="false" customHeight="true" outlineLevel="0" collapsed="false">
      <c r="A50" s="37" t="s">
        <v>442</v>
      </c>
      <c r="D50" s="1" t="s">
        <v>443</v>
      </c>
    </row>
    <row r="51" customFormat="false" ht="41.25" hidden="false" customHeight="true" outlineLevel="0" collapsed="false">
      <c r="A51" s="89" t="s">
        <v>444</v>
      </c>
      <c r="B51" s="90" t="s">
        <v>445</v>
      </c>
      <c r="C51" s="91" t="n">
        <v>0.5</v>
      </c>
      <c r="D51" s="92" t="s">
        <v>446</v>
      </c>
    </row>
    <row r="52" customFormat="false" ht="27.75" hidden="false" customHeight="true" outlineLevel="0" collapsed="false">
      <c r="A52" s="89" t="s">
        <v>447</v>
      </c>
      <c r="B52" s="90" t="s">
        <v>448</v>
      </c>
      <c r="C52" s="91" t="n">
        <v>0.5</v>
      </c>
      <c r="D52" s="92"/>
    </row>
    <row r="53" customFormat="false" ht="27.75" hidden="false" customHeight="true" outlineLevel="0" collapsed="false">
      <c r="A53" s="89" t="s">
        <v>449</v>
      </c>
      <c r="B53" s="90" t="s">
        <v>450</v>
      </c>
      <c r="C53" s="91" t="n">
        <f aca="false">C52</f>
        <v>0.5</v>
      </c>
      <c r="D53" s="92"/>
    </row>
    <row r="54" customFormat="false" ht="15" hidden="false" customHeight="true" outlineLevel="0" collapsed="false">
      <c r="A54" s="89" t="s">
        <v>451</v>
      </c>
      <c r="B54" s="90" t="s">
        <v>452</v>
      </c>
      <c r="C54" s="91" t="n">
        <v>2</v>
      </c>
      <c r="D54" s="92"/>
    </row>
    <row r="55" customFormat="false" ht="15" hidden="false" customHeight="true" outlineLevel="0" collapsed="false">
      <c r="A55" s="89"/>
      <c r="B55" s="90"/>
      <c r="C55" s="90"/>
      <c r="D55" s="92"/>
    </row>
    <row r="56" customFormat="false" ht="27.75" hidden="false" customHeight="true" outlineLevel="0" collapsed="false">
      <c r="A56" s="93" t="s">
        <v>453</v>
      </c>
      <c r="B56" s="90"/>
      <c r="C56" s="90"/>
      <c r="D56" s="92"/>
    </row>
    <row r="57" customFormat="false" ht="27.75" hidden="false" customHeight="true" outlineLevel="0" collapsed="false">
      <c r="A57" s="89" t="s">
        <v>454</v>
      </c>
      <c r="B57" s="90" t="s">
        <v>455</v>
      </c>
      <c r="C57" s="91" t="n">
        <v>0.6</v>
      </c>
      <c r="D57" s="92"/>
    </row>
    <row r="58" customFormat="false" ht="27.75" hidden="false" customHeight="true" outlineLevel="0" collapsed="false">
      <c r="A58" s="89" t="s">
        <v>456</v>
      </c>
      <c r="B58" s="90" t="s">
        <v>457</v>
      </c>
      <c r="C58" s="91" t="n">
        <v>6</v>
      </c>
      <c r="D58" s="92"/>
    </row>
    <row r="59" customFormat="false" ht="27.75" hidden="false" customHeight="true" outlineLevel="0" collapsed="false">
      <c r="A59" s="89" t="s">
        <v>458</v>
      </c>
      <c r="B59" s="90" t="s">
        <v>459</v>
      </c>
      <c r="C59" s="91" t="n">
        <v>5</v>
      </c>
      <c r="D59" s="92"/>
    </row>
    <row r="60" customFormat="false" ht="15" hidden="false" customHeight="true" outlineLevel="0" collapsed="false">
      <c r="A60" s="89"/>
      <c r="B60" s="90"/>
      <c r="C60" s="90"/>
      <c r="D60" s="92"/>
    </row>
    <row r="61" customFormat="false" ht="27.75" hidden="false" customHeight="true" outlineLevel="0" collapsed="false">
      <c r="A61" s="93" t="s">
        <v>460</v>
      </c>
      <c r="B61" s="90"/>
      <c r="C61" s="90"/>
      <c r="D61" s="92"/>
    </row>
    <row r="62" customFormat="false" ht="41.25" hidden="false" customHeight="true" outlineLevel="0" collapsed="false">
      <c r="A62" s="89" t="s">
        <v>461</v>
      </c>
      <c r="B62" s="90" t="s">
        <v>462</v>
      </c>
      <c r="C62" s="91" t="n">
        <v>0.1</v>
      </c>
      <c r="D62" s="92" t="s">
        <v>463</v>
      </c>
    </row>
    <row r="63" customFormat="false" ht="15" hidden="false" customHeight="true" outlineLevel="0" collapsed="false">
      <c r="A63" s="89"/>
      <c r="B63" s="90"/>
      <c r="C63" s="90"/>
      <c r="D63" s="92"/>
    </row>
    <row r="64" customFormat="false" ht="27.75" hidden="false" customHeight="true" outlineLevel="0" collapsed="false">
      <c r="A64" s="93" t="s">
        <v>464</v>
      </c>
      <c r="B64" s="90"/>
      <c r="C64" s="90"/>
      <c r="D64" s="92"/>
    </row>
    <row r="65" customFormat="false" ht="27.75" hidden="false" customHeight="true" outlineLevel="0" collapsed="false">
      <c r="A65" s="89" t="s">
        <v>465</v>
      </c>
      <c r="B65" s="90" t="s">
        <v>466</v>
      </c>
      <c r="C65" s="91" t="n">
        <v>0.2</v>
      </c>
      <c r="D65" s="92"/>
    </row>
    <row r="66" customFormat="false" ht="27.75" hidden="false" customHeight="true" outlineLevel="0" collapsed="false">
      <c r="A66" s="89" t="s">
        <v>467</v>
      </c>
      <c r="B66" s="90" t="s">
        <v>468</v>
      </c>
      <c r="C66" s="91" t="n">
        <v>0.02</v>
      </c>
      <c r="D66" s="92"/>
    </row>
  </sheetData>
  <mergeCells count="10">
    <mergeCell ref="B2:D2"/>
    <mergeCell ref="B28:D28"/>
    <mergeCell ref="C29:D29"/>
    <mergeCell ref="C30:D30"/>
    <mergeCell ref="C31:D31"/>
    <mergeCell ref="C32:D32"/>
    <mergeCell ref="C33:D33"/>
    <mergeCell ref="C34:D34"/>
    <mergeCell ref="C35:D35"/>
    <mergeCell ref="C36:D3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29" activePane="bottomRight" state="frozen"/>
      <selection pane="topLeft" activeCell="A1" activeCellId="0" sqref="A1"/>
      <selection pane="topRight" activeCell="D1" activeCellId="0" sqref="D1"/>
      <selection pane="bottomLeft" activeCell="A29" activeCellId="0" sqref="A29"/>
      <selection pane="bottomRight" activeCell="H49" activeCellId="0" sqref="H4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470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472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95" t="s">
        <v>474</v>
      </c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26</v>
      </c>
      <c r="E7" s="52" t="n">
        <f aca="false">$D$7*(E8/$D$8)^Assumptions!$C$39</f>
        <v>22.6373836468581</v>
      </c>
      <c r="F7" s="52" t="n">
        <f aca="false">$D$7*(F8/$D$8)^Assumptions!$C$39</f>
        <v>21.753160689886</v>
      </c>
      <c r="G7" s="52" t="n">
        <f aca="false">$D$7*(G8/$D$8)^Assumptions!$C$39</f>
        <v>21.753160689886</v>
      </c>
      <c r="H7" s="52" t="n">
        <f aca="false">$D$7*(H8/$D$8)^Assumptions!$C$39</f>
        <v>21.753160689886</v>
      </c>
      <c r="I7" s="52" t="n">
        <f aca="false">$D$7*(I8/$D$8)^Assumptions!$C$39</f>
        <v>21.753160689886</v>
      </c>
      <c r="J7" s="52" t="n">
        <f aca="false">$D$7*(J8/$D$8)^Assumptions!$C$39</f>
        <v>21.753160689886</v>
      </c>
      <c r="K7" s="52" t="n">
        <f aca="false">$D$7*(K8/$D$8)^Assumptions!$C$39</f>
        <v>21.753160689886</v>
      </c>
      <c r="L7" s="52" t="n">
        <f aca="false">$D$7*(L8/$D$8)^Assumptions!$C$39</f>
        <v>21.753160689886</v>
      </c>
      <c r="M7" s="52" t="n">
        <f aca="false">$D$7*(M8/$D$8)^Assumptions!$C$39</f>
        <v>21.753160689886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11</v>
      </c>
      <c r="E8" s="52" t="n">
        <f aca="false">MAX($D$8*Assumptions!$C$40,$D$8*Assumptions!$C$10^LOG(MAX(1,SUM($D9:E9)),Assumptions!$C$41))</f>
        <v>8.33870195580686</v>
      </c>
      <c r="F8" s="52" t="n">
        <f aca="false">MAX($D$8*Assumptions!$C$40,$D$8*Assumptions!$C$10^LOG(MAX(1,SUM($D9:F9)),Assumptions!$C$41))</f>
        <v>7.7</v>
      </c>
      <c r="G8" s="52" t="n">
        <f aca="false">MAX($D$8*Assumptions!$C$40,$D$8*Assumptions!$C$10^LOG(MAX(1,SUM($D9:G9)),Assumptions!$C$41))</f>
        <v>7.7</v>
      </c>
      <c r="H8" s="52" t="n">
        <f aca="false">MAX($D$8*Assumptions!$C$40,$D$8*Assumptions!$C$10^LOG(MAX(1,SUM($D9:H9)),Assumptions!$C$41))</f>
        <v>7.7</v>
      </c>
      <c r="I8" s="52" t="n">
        <f aca="false">MAX($D$8*Assumptions!$C$40,$D$8*Assumptions!$C$10^LOG(MAX(1,SUM($D9:I9)),Assumptions!$C$41))</f>
        <v>7.7</v>
      </c>
      <c r="J8" s="52" t="n">
        <f aca="false">MAX($D$8*Assumptions!$C$40,$D$8*Assumptions!$C$10^LOG(MAX(1,SUM($D9:J9)),Assumptions!$C$41))</f>
        <v>7.7</v>
      </c>
      <c r="K8" s="52" t="n">
        <f aca="false">MAX($D$8*Assumptions!$C$40,$D$8*Assumptions!$C$10^LOG(MAX(1,SUM($D9:K9)),Assumptions!$C$41))</f>
        <v>7.7</v>
      </c>
      <c r="L8" s="52" t="n">
        <f aca="false">MAX($D$8*Assumptions!$C$40,$D$8*Assumptions!$C$10^LOG(MAX(1,SUM($D9:L9)),Assumptions!$C$41))</f>
        <v>7.7</v>
      </c>
      <c r="M8" s="52" t="n">
        <f aca="false">MAX($D$8*Assumptions!$C$40,$D$8*Assumptions!$C$10^LOG(MAX(1,SUM($D9:M9)),Assumptions!$C$41))</f>
        <v>7.7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2</v>
      </c>
      <c r="E9" s="97" t="n">
        <v>8</v>
      </c>
      <c r="F9" s="97" t="n">
        <v>10</v>
      </c>
      <c r="G9" s="97" t="n">
        <v>20</v>
      </c>
      <c r="H9" s="97" t="n">
        <v>50</v>
      </c>
      <c r="I9" s="97" t="n">
        <v>50</v>
      </c>
      <c r="J9" s="97" t="n">
        <v>60</v>
      </c>
      <c r="K9" s="97" t="n">
        <v>60</v>
      </c>
      <c r="L9" s="97" t="n">
        <v>80</v>
      </c>
      <c r="M9" s="97" t="n">
        <v>80</v>
      </c>
    </row>
    <row r="10" customFormat="false" ht="15" hidden="false" customHeight="true" outlineLevel="0" collapsed="false">
      <c r="B10" s="98" t="s">
        <v>479</v>
      </c>
      <c r="D10" s="23" t="n">
        <f aca="false">D7*D9</f>
        <v>52</v>
      </c>
      <c r="E10" s="23" t="n">
        <f aca="false">E7*E9</f>
        <v>181.099069174865</v>
      </c>
      <c r="F10" s="23" t="n">
        <f aca="false">F7*F9</f>
        <v>217.53160689886</v>
      </c>
      <c r="G10" s="23" t="n">
        <f aca="false">G7*G9</f>
        <v>435.063213797719</v>
      </c>
      <c r="H10" s="23" t="n">
        <f aca="false">H7*H9</f>
        <v>1087.6580344943</v>
      </c>
      <c r="I10" s="23" t="n">
        <f aca="false">I7*I9</f>
        <v>1087.6580344943</v>
      </c>
      <c r="J10" s="23" t="n">
        <f aca="false">J7*J9</f>
        <v>1305.18964139316</v>
      </c>
      <c r="K10" s="23" t="n">
        <f aca="false">K7*K9</f>
        <v>1305.18964139316</v>
      </c>
      <c r="L10" s="23" t="n">
        <f aca="false">L7*L9</f>
        <v>1740.25285519088</v>
      </c>
      <c r="M10" s="23" t="n">
        <f aca="false">M7*M9</f>
        <v>1740.25285519088</v>
      </c>
    </row>
    <row r="11" customFormat="false" ht="15" hidden="false" customHeight="true" outlineLevel="0" collapsed="false">
      <c r="B11" s="96" t="s">
        <v>480</v>
      </c>
      <c r="D11" s="25" t="n">
        <f aca="false">D8*D9</f>
        <v>22</v>
      </c>
      <c r="E11" s="25" t="n">
        <f aca="false">E8*E9</f>
        <v>66.7096156464549</v>
      </c>
      <c r="F11" s="25" t="n">
        <f aca="false">F8*F9</f>
        <v>77</v>
      </c>
      <c r="G11" s="25" t="n">
        <f aca="false">G8*G9</f>
        <v>154</v>
      </c>
      <c r="H11" s="25" t="n">
        <f aca="false">H8*H9</f>
        <v>385</v>
      </c>
      <c r="I11" s="25" t="n">
        <f aca="false">I8*I9</f>
        <v>385</v>
      </c>
      <c r="J11" s="25" t="n">
        <f aca="false">J8*J9</f>
        <v>462</v>
      </c>
      <c r="K11" s="25" t="n">
        <f aca="false">K8*K9</f>
        <v>462</v>
      </c>
      <c r="L11" s="25" t="n">
        <f aca="false">L8*L9</f>
        <v>616</v>
      </c>
      <c r="M11" s="25" t="n">
        <f aca="false">M8*M9</f>
        <v>616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0.576923076923077</v>
      </c>
      <c r="E12" s="24" t="n">
        <f aca="false">IF(E7=0,0,1-E8/E7)</f>
        <v>0.631640206929824</v>
      </c>
      <c r="F12" s="24" t="n">
        <f aca="false">IF(F7=0,0,1-F8/F7)</f>
        <v>0.646028450312507</v>
      </c>
      <c r="G12" s="24" t="n">
        <f aca="false">IF(G7=0,0,1-G8/G7)</f>
        <v>0.646028450312507</v>
      </c>
      <c r="H12" s="24" t="n">
        <f aca="false">IF(H7=0,0,1-H8/H7)</f>
        <v>0.646028450312507</v>
      </c>
      <c r="I12" s="24" t="n">
        <f aca="false">IF(I7=0,0,1-I8/I7)</f>
        <v>0.646028450312507</v>
      </c>
      <c r="J12" s="24" t="n">
        <f aca="false">IF(J7=0,0,1-J8/J7)</f>
        <v>0.646028450312507</v>
      </c>
      <c r="K12" s="24" t="n">
        <f aca="false">IF(K7=0,0,1-K8/K7)</f>
        <v>0.646028450312507</v>
      </c>
      <c r="L12" s="24" t="n">
        <f aca="false">IF(L7=0,0,1-L8/L7)</f>
        <v>0.646028450312507</v>
      </c>
      <c r="M12" s="24" t="n">
        <f aca="false">IF(M7=0,0,1-M8/M7)</f>
        <v>0.646028450312507</v>
      </c>
    </row>
    <row r="14" customFormat="false" ht="15" hidden="false" customHeight="true" outlineLevel="0" collapsed="false">
      <c r="B14" s="95" t="s">
        <v>482</v>
      </c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45</v>
      </c>
      <c r="E15" s="52" t="n">
        <f aca="false">$D$15*(E16/$D$16)^Assumptions!$C$39</f>
        <v>45</v>
      </c>
      <c r="F15" s="52" t="n">
        <f aca="false">$D$15*(F16/$D$16)^Assumptions!$C$39</f>
        <v>42.1225879658068</v>
      </c>
      <c r="G15" s="52" t="n">
        <f aca="false">$D$15*(G16/$D$16)^Assumptions!$C$39</f>
        <v>40.4025670419859</v>
      </c>
      <c r="H15" s="52" t="n">
        <f aca="false">$D$15*(H16/$D$16)^Assumptions!$C$39</f>
        <v>39.1800870811006</v>
      </c>
      <c r="I15" s="52" t="n">
        <f aca="false">$D$15*(I16/$D$16)^Assumptions!$C$39</f>
        <v>38.2361375605075</v>
      </c>
      <c r="J15" s="52" t="n">
        <f aca="false">$D$15*(J16/$D$16)^Assumptions!$C$39</f>
        <v>37.6497011940334</v>
      </c>
      <c r="K15" s="52" t="n">
        <f aca="false">$D$15*(K16/$D$16)^Assumptions!$C$39</f>
        <v>37.6497011940334</v>
      </c>
      <c r="L15" s="52" t="n">
        <f aca="false">$D$15*(L16/$D$16)^Assumptions!$C$39</f>
        <v>37.6497011940334</v>
      </c>
      <c r="M15" s="52" t="n">
        <f aca="false">$D$15*(M16/$D$16)^Assumptions!$C$39</f>
        <v>37.6497011940334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17.765</v>
      </c>
      <c r="E16" s="52" t="n">
        <f aca="false">MAX($D$16*Assumptions!$C$40,$D$16*Assumptions!$C$10^LOG(MAX(1,SUM($D17:E17)),Assumptions!$C$41))</f>
        <v>17.765</v>
      </c>
      <c r="F16" s="52" t="n">
        <f aca="false">MAX($D$16*Assumptions!$C$40,$D$16*Assumptions!$C$10^LOG(MAX(1,SUM($D17:F17)),Assumptions!$C$41))</f>
        <v>15.5657580675991</v>
      </c>
      <c r="G16" s="52" t="n">
        <f aca="false">MAX($D$16*Assumptions!$C$40,$D$16*Assumptions!$C$10^LOG(MAX(1,SUM($D17:G17)),Assumptions!$C$41))</f>
        <v>14.3204974221912</v>
      </c>
      <c r="H16" s="52" t="n">
        <f aca="false">MAX($D$16*Assumptions!$C$40,$D$16*Assumptions!$C$10^LOG(MAX(1,SUM($D17:H17)),Assumptions!$C$41))</f>
        <v>13.4670036586281</v>
      </c>
      <c r="I16" s="52" t="n">
        <f aca="false">MAX($D$16*Assumptions!$C$40,$D$16*Assumptions!$C$10^LOG(MAX(1,SUM($D17:I17)),Assumptions!$C$41))</f>
        <v>12.8259107946547</v>
      </c>
      <c r="J16" s="52" t="n">
        <f aca="false">MAX($D$16*Assumptions!$C$40,$D$16*Assumptions!$C$10^LOG(MAX(1,SUM($D17:J17)),Assumptions!$C$41))</f>
        <v>12.4355</v>
      </c>
      <c r="K16" s="52" t="n">
        <f aca="false">MAX($D$16*Assumptions!$C$40,$D$16*Assumptions!$C$10^LOG(MAX(1,SUM($D17:K17)),Assumptions!$C$41))</f>
        <v>12.4355</v>
      </c>
      <c r="L16" s="52" t="n">
        <f aca="false">MAX($D$16*Assumptions!$C$40,$D$16*Assumptions!$C$10^LOG(MAX(1,SUM($D17:L17)),Assumptions!$C$41))</f>
        <v>12.4355</v>
      </c>
      <c r="M16" s="52" t="n">
        <f aca="false">MAX($D$16*Assumptions!$C$40,$D$16*Assumptions!$C$10^LOG(MAX(1,SUM($D17:M17)),Assumptions!$C$41))</f>
        <v>12.4355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0</v>
      </c>
      <c r="E17" s="97" t="n">
        <v>1</v>
      </c>
      <c r="F17" s="97" t="n">
        <v>2</v>
      </c>
      <c r="G17" s="97" t="n">
        <v>3</v>
      </c>
      <c r="H17" s="97" t="n">
        <v>4</v>
      </c>
      <c r="I17" s="97" t="n">
        <v>5</v>
      </c>
      <c r="J17" s="97" t="n">
        <v>6</v>
      </c>
      <c r="K17" s="97" t="n">
        <v>7</v>
      </c>
      <c r="L17" s="97" t="n">
        <v>8</v>
      </c>
      <c r="M17" s="97" t="n">
        <v>8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0</v>
      </c>
      <c r="E18" s="23" t="n">
        <f aca="false">E15*E17</f>
        <v>45</v>
      </c>
      <c r="F18" s="23" t="n">
        <f aca="false">F15*F17</f>
        <v>84.2451759316137</v>
      </c>
      <c r="G18" s="23" t="n">
        <f aca="false">G15*G17</f>
        <v>121.207701125958</v>
      </c>
      <c r="H18" s="23" t="n">
        <f aca="false">H15*H17</f>
        <v>156.720348324402</v>
      </c>
      <c r="I18" s="23" t="n">
        <f aca="false">I15*I17</f>
        <v>191.180687802538</v>
      </c>
      <c r="J18" s="23" t="n">
        <f aca="false">J15*J17</f>
        <v>225.8982071642</v>
      </c>
      <c r="K18" s="23" t="n">
        <f aca="false">K15*K17</f>
        <v>263.547908358234</v>
      </c>
      <c r="L18" s="23" t="n">
        <f aca="false">L15*L17</f>
        <v>301.197609552267</v>
      </c>
      <c r="M18" s="23" t="n">
        <f aca="false">M15*M17</f>
        <v>301.197609552267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</v>
      </c>
      <c r="E19" s="25" t="n">
        <f aca="false">E16*E17</f>
        <v>17.765</v>
      </c>
      <c r="F19" s="25" t="n">
        <f aca="false">F16*F17</f>
        <v>31.1315161351982</v>
      </c>
      <c r="G19" s="25" t="n">
        <f aca="false">G16*G17</f>
        <v>42.9614922665736</v>
      </c>
      <c r="H19" s="25" t="n">
        <f aca="false">H16*H17</f>
        <v>53.8680146345123</v>
      </c>
      <c r="I19" s="25" t="n">
        <f aca="false">I16*I17</f>
        <v>64.1295539732733</v>
      </c>
      <c r="J19" s="25" t="n">
        <f aca="false">J16*J17</f>
        <v>74.613</v>
      </c>
      <c r="K19" s="25" t="n">
        <f aca="false">K16*K17</f>
        <v>87.0485</v>
      </c>
      <c r="L19" s="25" t="n">
        <f aca="false">L16*L17</f>
        <v>99.484</v>
      </c>
      <c r="M19" s="25" t="n">
        <f aca="false">M16*M17</f>
        <v>99.484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0.605222222222222</v>
      </c>
      <c r="E20" s="24" t="n">
        <f aca="false">IF(E15=0,0,1-E16/E15)</f>
        <v>0.605222222222222</v>
      </c>
      <c r="F20" s="24" t="n">
        <f aca="false">IF(F15=0,0,1-F16/F15)</f>
        <v>0.630465296191329</v>
      </c>
      <c r="G20" s="24" t="n">
        <f aca="false">IF(G15=0,0,1-G16/G15)</f>
        <v>0.64555476370327</v>
      </c>
      <c r="H20" s="24" t="n">
        <f aca="false">IF(H15=0,0,1-H16/H15)</f>
        <v>0.656279384199629</v>
      </c>
      <c r="I20" s="24" t="n">
        <f aca="false">IF(I15=0,0,1-I16/I15)</f>
        <v>0.66456050184572</v>
      </c>
      <c r="J20" s="24" t="n">
        <f aca="false">IF(J15=0,0,1-J16/J15)</f>
        <v>0.669705213969381</v>
      </c>
      <c r="K20" s="24" t="n">
        <f aca="false">IF(K15=0,0,1-K16/K15)</f>
        <v>0.669705213969381</v>
      </c>
      <c r="L20" s="24" t="n">
        <f aca="false">IF(L15=0,0,1-L16/L15)</f>
        <v>0.669705213969381</v>
      </c>
      <c r="M20" s="24" t="n">
        <f aca="false">IF(M15=0,0,1-M16/M15)</f>
        <v>0.669705213969381</v>
      </c>
    </row>
    <row r="22" customFormat="false" ht="15" hidden="false" customHeight="true" outlineLevel="0" collapsed="false">
      <c r="B22" s="95" t="s">
        <v>483</v>
      </c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36</v>
      </c>
      <c r="E23" s="52" t="n">
        <f aca="false">$D$23*(E24/$D$24)^Assumptions!$C$39</f>
        <v>36</v>
      </c>
      <c r="F23" s="52" t="n">
        <f aca="false">$D$23*(F24/$D$24)^Assumptions!$C$39</f>
        <v>34.5299869678516</v>
      </c>
      <c r="G23" s="52" t="n">
        <f aca="false">$D$23*(G24/$D$24)^Assumptions!$C$39</f>
        <v>33.12</v>
      </c>
      <c r="H23" s="52" t="n">
        <f aca="false">$D$23*(H24/$D$24)^Assumptions!$C$39</f>
        <v>32.0237576315571</v>
      </c>
      <c r="I23" s="52" t="n">
        <f aca="false">$D$23*(I24/$D$24)^Assumptions!$C$39</f>
        <v>31.1648996802444</v>
      </c>
      <c r="J23" s="52" t="n">
        <f aca="false">$D$23*(J24/$D$24)^Assumptions!$C$39</f>
        <v>30.4704</v>
      </c>
      <c r="K23" s="52" t="n">
        <f aca="false">$D$23*(K24/$D$24)^Assumptions!$C$39</f>
        <v>30.1197609552267</v>
      </c>
      <c r="L23" s="52" t="n">
        <f aca="false">$D$23*(L24/$D$24)^Assumptions!$C$39</f>
        <v>30.1197609552267</v>
      </c>
      <c r="M23" s="52" t="n">
        <f aca="false">$D$23*(M24/$D$24)^Assumptions!$C$39</f>
        <v>30.1197609552267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14.6775</v>
      </c>
      <c r="E24" s="52" t="n">
        <f aca="false">MAX($D$24*Assumptions!$C$40,$D$24*Assumptions!$C$10^LOG(MAX(1,SUM($D25:E25)),Assumptions!$C$41))</f>
        <v>14.6775</v>
      </c>
      <c r="F24" s="52" t="n">
        <f aca="false">MAX($D$24*Assumptions!$C$40,$D$24*Assumptions!$C$10^LOG(MAX(1,SUM($D25:F25)),Assumptions!$C$41))</f>
        <v>13.5033</v>
      </c>
      <c r="G24" s="52" t="n">
        <f aca="false">MAX($D$24*Assumptions!$C$40,$D$24*Assumptions!$C$10^LOG(MAX(1,SUM($D25:G25)),Assumptions!$C$41))</f>
        <v>12.423036</v>
      </c>
      <c r="H24" s="52" t="n">
        <f aca="false">MAX($D$24*Assumptions!$C$40,$D$24*Assumptions!$C$10^LOG(MAX(1,SUM($D25:H25)),Assumptions!$C$41))</f>
        <v>11.614263312599</v>
      </c>
      <c r="I24" s="52" t="n">
        <f aca="false">MAX($D$24*Assumptions!$C$40,$D$24*Assumptions!$C$10^LOG(MAX(1,SUM($D25:I25)),Assumptions!$C$41))</f>
        <v>10.9996420854165</v>
      </c>
      <c r="J24" s="52" t="n">
        <f aca="false">MAX($D$24*Assumptions!$C$40,$D$24*Assumptions!$C$10^LOG(MAX(1,SUM($D25:J25)),Assumptions!$C$41))</f>
        <v>10.5148576704</v>
      </c>
      <c r="K24" s="52" t="n">
        <f aca="false">MAX($D$24*Assumptions!$C$40,$D$24*Assumptions!$C$10^LOG(MAX(1,SUM($D25:K25)),Assumptions!$C$41))</f>
        <v>10.27425</v>
      </c>
      <c r="L24" s="52" t="n">
        <f aca="false">MAX($D$24*Assumptions!$C$40,$D$24*Assumptions!$C$10^LOG(MAX(1,SUM($D25:L25)),Assumptions!$C$41))</f>
        <v>10.27425</v>
      </c>
      <c r="M24" s="52" t="n">
        <f aca="false">MAX($D$24*Assumptions!$C$40,$D$24*Assumptions!$C$10^LOG(MAX(1,SUM($D25:M25)),Assumptions!$C$41))</f>
        <v>10.27425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0</v>
      </c>
      <c r="E25" s="97" t="n">
        <v>1</v>
      </c>
      <c r="F25" s="97" t="n">
        <v>1</v>
      </c>
      <c r="G25" s="97" t="n">
        <v>2</v>
      </c>
      <c r="H25" s="97" t="n">
        <v>3</v>
      </c>
      <c r="I25" s="97" t="n">
        <v>4</v>
      </c>
      <c r="J25" s="97" t="n">
        <v>5</v>
      </c>
      <c r="K25" s="97" t="n">
        <v>6</v>
      </c>
      <c r="L25" s="97" t="n">
        <v>6</v>
      </c>
      <c r="M25" s="97" t="n">
        <v>7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0</v>
      </c>
      <c r="E26" s="23" t="n">
        <f aca="false">E23*E25</f>
        <v>36</v>
      </c>
      <c r="F26" s="23" t="n">
        <f aca="false">F23*F25</f>
        <v>34.5299869678516</v>
      </c>
      <c r="G26" s="23" t="n">
        <f aca="false">G23*G25</f>
        <v>66.24</v>
      </c>
      <c r="H26" s="23" t="n">
        <f aca="false">H23*H25</f>
        <v>96.0712728946714</v>
      </c>
      <c r="I26" s="23" t="n">
        <f aca="false">I23*I25</f>
        <v>124.659598720978</v>
      </c>
      <c r="J26" s="23" t="n">
        <f aca="false">J23*J25</f>
        <v>152.352</v>
      </c>
      <c r="K26" s="23" t="n">
        <f aca="false">K23*K25</f>
        <v>180.71856573136</v>
      </c>
      <c r="L26" s="23" t="n">
        <f aca="false">L23*L25</f>
        <v>180.71856573136</v>
      </c>
      <c r="M26" s="23" t="n">
        <f aca="false">M23*M25</f>
        <v>210.838326686587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</v>
      </c>
      <c r="E27" s="25" t="n">
        <f aca="false">E24*E25</f>
        <v>14.6775</v>
      </c>
      <c r="F27" s="25" t="n">
        <f aca="false">F24*F25</f>
        <v>13.5033</v>
      </c>
      <c r="G27" s="25" t="n">
        <f aca="false">G24*G25</f>
        <v>24.846072</v>
      </c>
      <c r="H27" s="25" t="n">
        <f aca="false">H24*H25</f>
        <v>34.842789937797</v>
      </c>
      <c r="I27" s="25" t="n">
        <f aca="false">I24*I25</f>
        <v>43.9985683416661</v>
      </c>
      <c r="J27" s="25" t="n">
        <f aca="false">J24*J25</f>
        <v>52.574288352</v>
      </c>
      <c r="K27" s="25" t="n">
        <f aca="false">K24*K25</f>
        <v>61.6455</v>
      </c>
      <c r="L27" s="25" t="n">
        <f aca="false">L24*L25</f>
        <v>61.6455</v>
      </c>
      <c r="M27" s="25" t="n">
        <f aca="false">M24*M25</f>
        <v>71.91975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0.592291666666667</v>
      </c>
      <c r="E28" s="24" t="n">
        <f aca="false">IF(E23=0,0,1-E24/E23)</f>
        <v>0.592291666666667</v>
      </c>
      <c r="F28" s="24" t="n">
        <f aca="false">IF(F23=0,0,1-F24/F23)</f>
        <v>0.608939904536542</v>
      </c>
      <c r="G28" s="24" t="n">
        <f aca="false">IF(G23=0,0,1-G24/G23)</f>
        <v>0.624908333333333</v>
      </c>
      <c r="H28" s="24" t="n">
        <f aca="false">IF(H23=0,0,1-H24/H23)</f>
        <v>0.637323531915756</v>
      </c>
      <c r="I28" s="24" t="n">
        <f aca="false">IF(I23=0,0,1-I24/I23)</f>
        <v>0.647050297024084</v>
      </c>
      <c r="J28" s="24" t="n">
        <f aca="false">IF(J23=0,0,1-J24/J23)</f>
        <v>0.654915666666667</v>
      </c>
      <c r="K28" s="24" t="n">
        <f aca="false">IF(K23=0,0,1-K24/K23)</f>
        <v>0.65888673501517</v>
      </c>
      <c r="L28" s="24" t="n">
        <f aca="false">IF(L23=0,0,1-L24/L23)</f>
        <v>0.65888673501517</v>
      </c>
      <c r="M28" s="24" t="n">
        <f aca="false">IF(M23=0,0,1-M24/M23)</f>
        <v>0.65888673501517</v>
      </c>
    </row>
    <row r="30" customFormat="false" ht="21.75" hidden="false" customHeight="true" outlineLevel="0" collapsed="false">
      <c r="B30" s="6" t="s">
        <v>484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52</v>
      </c>
      <c r="E31" s="55" t="n">
        <f aca="false">E10+E18+E26</f>
        <v>262.099069174865</v>
      </c>
      <c r="F31" s="55" t="n">
        <f aca="false">F10+F18+F26</f>
        <v>336.306769798325</v>
      </c>
      <c r="G31" s="55" t="n">
        <f aca="false">G10+G18+G26</f>
        <v>622.510914923677</v>
      </c>
      <c r="H31" s="55" t="n">
        <f aca="false">H10+H18+H26</f>
        <v>1340.44965571337</v>
      </c>
      <c r="I31" s="55" t="n">
        <f aca="false">I10+I18+I26</f>
        <v>1403.49832101781</v>
      </c>
      <c r="J31" s="55" t="n">
        <f aca="false">J10+J18+J26</f>
        <v>1683.43984855736</v>
      </c>
      <c r="K31" s="55" t="n">
        <f aca="false">K10+K18+K26</f>
        <v>1749.45611548275</v>
      </c>
      <c r="L31" s="55" t="n">
        <f aca="false">L10+L18+L26</f>
        <v>2222.16903047451</v>
      </c>
      <c r="M31" s="55" t="n">
        <f aca="false">M10+M18+M26</f>
        <v>2252.28879142973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22</v>
      </c>
      <c r="E32" s="55" t="n">
        <f aca="false">E11+E19+E27</f>
        <v>99.1521156464549</v>
      </c>
      <c r="F32" s="55" t="n">
        <f aca="false">F11+F19+F27</f>
        <v>121.634816135198</v>
      </c>
      <c r="G32" s="55" t="n">
        <f aca="false">G11+G19+G27</f>
        <v>221.807564266574</v>
      </c>
      <c r="H32" s="55" t="n">
        <f aca="false">H11+H19+H27</f>
        <v>473.710804572309</v>
      </c>
      <c r="I32" s="55" t="n">
        <f aca="false">I11+I19+I27</f>
        <v>493.128122314939</v>
      </c>
      <c r="J32" s="55" t="n">
        <f aca="false">J11+J19+J27</f>
        <v>589.187288352</v>
      </c>
      <c r="K32" s="55" t="n">
        <f aca="false">K11+K19+K27</f>
        <v>610.694</v>
      </c>
      <c r="L32" s="55" t="n">
        <f aca="false">L11+L19+L27</f>
        <v>777.1295</v>
      </c>
      <c r="M32" s="55" t="n">
        <f aca="false">M11+M19+M27</f>
        <v>787.40375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2</v>
      </c>
      <c r="E33" s="100" t="n">
        <f aca="false">E9+E17+E25</f>
        <v>10</v>
      </c>
      <c r="F33" s="100" t="n">
        <f aca="false">F9+F17+F25</f>
        <v>13</v>
      </c>
      <c r="G33" s="100" t="n">
        <f aca="false">G9+G17+G25</f>
        <v>25</v>
      </c>
      <c r="H33" s="100" t="n">
        <f aca="false">H9+H17+H25</f>
        <v>57</v>
      </c>
      <c r="I33" s="100" t="n">
        <f aca="false">I9+I17+I25</f>
        <v>59</v>
      </c>
      <c r="J33" s="100" t="n">
        <f aca="false">J9+J17+J25</f>
        <v>71</v>
      </c>
      <c r="K33" s="100" t="n">
        <f aca="false">K9+K17+K25</f>
        <v>73</v>
      </c>
      <c r="L33" s="100" t="n">
        <f aca="false">L9+L17+L25</f>
        <v>94</v>
      </c>
      <c r="M33" s="100" t="n">
        <f aca="false">M9+M17+M25</f>
        <v>95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30</v>
      </c>
      <c r="E34" s="55" t="n">
        <f aca="false">E31-E32</f>
        <v>162.94695352841</v>
      </c>
      <c r="F34" s="55" t="n">
        <f aca="false">F31-F32</f>
        <v>214.671953663127</v>
      </c>
      <c r="G34" s="55" t="n">
        <f aca="false">G31-G32</f>
        <v>400.703350657103</v>
      </c>
      <c r="H34" s="55" t="n">
        <f aca="false">H31-H32</f>
        <v>866.738851141063</v>
      </c>
      <c r="I34" s="55" t="n">
        <f aca="false">I31-I32</f>
        <v>910.370198702875</v>
      </c>
      <c r="J34" s="55" t="n">
        <f aca="false">J31-J32</f>
        <v>1094.25256020536</v>
      </c>
      <c r="K34" s="55" t="n">
        <f aca="false">K31-K32</f>
        <v>1138.76211548275</v>
      </c>
      <c r="L34" s="55" t="n">
        <f aca="false">L31-L32</f>
        <v>1445.0395304745</v>
      </c>
      <c r="M34" s="55" t="n">
        <f aca="false">M31-M32</f>
        <v>1464.88504142973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0.576923076923077</v>
      </c>
      <c r="E35" s="101" t="n">
        <f aca="false">IFERROR((E31-E32)/E31,0)</f>
        <v>0.621699855865175</v>
      </c>
      <c r="F35" s="101" t="n">
        <f aca="false">IFERROR((F31-F32)/F31,0)</f>
        <v>0.638321832747703</v>
      </c>
      <c r="G35" s="101" t="n">
        <f aca="false">IFERROR((G31-G32)/G31,0)</f>
        <v>0.643688875248447</v>
      </c>
      <c r="H35" s="101" t="n">
        <f aca="false">IFERROR((H31-H32)/H31,0)</f>
        <v>0.646603061477751</v>
      </c>
      <c r="I35" s="101" t="n">
        <f aca="false">IFERROR((I31-I32)/I31,0)</f>
        <v>0.64864359655427</v>
      </c>
      <c r="J35" s="101" t="n">
        <f aca="false">IFERROR((J31-J32)/J31,0)</f>
        <v>0.650009895597452</v>
      </c>
      <c r="K35" s="101" t="n">
        <f aca="false">IFERROR((K31-K32)/K31,0)</f>
        <v>0.650923510115324</v>
      </c>
      <c r="L35" s="101" t="n">
        <f aca="false">IFERROR((L31-L32)/L31,0)</f>
        <v>0.650283354082179</v>
      </c>
      <c r="M35" s="101" t="n">
        <f aca="false">IFERROR((M31-M32)/M31,0)</f>
        <v>0.650398406724671</v>
      </c>
    </row>
    <row r="36" customFormat="false" ht="15" hidden="false" customHeight="true" outlineLevel="0" collapsed="false">
      <c r="B36" s="54" t="s">
        <v>488</v>
      </c>
      <c r="D36" s="25" t="n">
        <f aca="false">D31</f>
        <v>52</v>
      </c>
      <c r="E36" s="25" t="n">
        <f aca="false">D36+E31</f>
        <v>314.099069174865</v>
      </c>
      <c r="F36" s="25" t="n">
        <f aca="false">E36+F31</f>
        <v>650.40583897319</v>
      </c>
      <c r="G36" s="25" t="n">
        <f aca="false">F36+G31</f>
        <v>1272.91675389687</v>
      </c>
      <c r="H36" s="25" t="n">
        <f aca="false">G36+H31</f>
        <v>2613.36640961024</v>
      </c>
      <c r="I36" s="25" t="n">
        <f aca="false">H36+I31</f>
        <v>4016.86473062805</v>
      </c>
      <c r="J36" s="25" t="n">
        <f aca="false">I36+J31</f>
        <v>5700.30457918541</v>
      </c>
      <c r="K36" s="25" t="n">
        <f aca="false">J36+K31</f>
        <v>7449.76069466816</v>
      </c>
      <c r="L36" s="25" t="n">
        <f aca="false">K36+L31</f>
        <v>9671.92972514267</v>
      </c>
      <c r="M36" s="25" t="n">
        <f aca="false">L36+M31</f>
        <v>11924.2185165724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M44" activeCellId="0" sqref="M4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489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490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95" t="s">
        <v>491</v>
      </c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30</v>
      </c>
      <c r="E7" s="52" t="n">
        <f aca="false">$D$7*(E8/$D$8)^Assumptions!$C$39</f>
        <v>26.4729900086862</v>
      </c>
      <c r="F7" s="52" t="n">
        <f aca="false">$D$7*(F8/$D$8)^Assumptions!$C$39</f>
        <v>25.596757724058</v>
      </c>
      <c r="G7" s="52" t="n">
        <f aca="false">$D$7*(G8/$D$8)^Assumptions!$C$39</f>
        <v>25.0998007960223</v>
      </c>
      <c r="H7" s="52" t="n">
        <f aca="false">$D$7*(H8/$D$8)^Assumptions!$C$39</f>
        <v>25.0998007960223</v>
      </c>
      <c r="I7" s="52" t="n">
        <f aca="false">$D$7*(I8/$D$8)^Assumptions!$C$39</f>
        <v>25.0998007960223</v>
      </c>
      <c r="J7" s="52" t="n">
        <f aca="false">$D$7*(J8/$D$8)^Assumptions!$C$39</f>
        <v>25.0998007960223</v>
      </c>
      <c r="K7" s="52" t="n">
        <f aca="false">$D$7*(K8/$D$8)^Assumptions!$C$39</f>
        <v>25.0998007960223</v>
      </c>
      <c r="L7" s="52" t="n">
        <f aca="false">$D$7*(L8/$D$8)^Assumptions!$C$39</f>
        <v>25.0998007960223</v>
      </c>
      <c r="M7" s="52" t="n">
        <f aca="false">$D$7*(M8/$D$8)^Assumptions!$C$39</f>
        <v>25.0998007960223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14</v>
      </c>
      <c r="E8" s="52" t="n">
        <f aca="false">MAX($D$8*Assumptions!$C$40,$D$8*Assumptions!$C$10^LOG(MAX(1,SUM($D9:E9)),Assumptions!$C$41))</f>
        <v>10.901632</v>
      </c>
      <c r="F8" s="52" t="n">
        <f aca="false">MAX($D$8*Assumptions!$C$40,$D$8*Assumptions!$C$10^LOG(MAX(1,SUM($D9:F9)),Assumptions!$C$41))</f>
        <v>10.191906759753</v>
      </c>
      <c r="G8" s="52" t="n">
        <f aca="false">MAX($D$8*Assumptions!$C$40,$D$8*Assumptions!$C$10^LOG(MAX(1,SUM($D9:G9)),Assumptions!$C$41))</f>
        <v>9.8</v>
      </c>
      <c r="H8" s="52" t="n">
        <f aca="false">MAX($D$8*Assumptions!$C$40,$D$8*Assumptions!$C$10^LOG(MAX(1,SUM($D9:H9)),Assumptions!$C$41))</f>
        <v>9.8</v>
      </c>
      <c r="I8" s="52" t="n">
        <f aca="false">MAX($D$8*Assumptions!$C$40,$D$8*Assumptions!$C$10^LOG(MAX(1,SUM($D9:I9)),Assumptions!$C$41))</f>
        <v>9.8</v>
      </c>
      <c r="J8" s="52" t="n">
        <f aca="false">MAX($D$8*Assumptions!$C$40,$D$8*Assumptions!$C$10^LOG(MAX(1,SUM($D9:J9)),Assumptions!$C$41))</f>
        <v>9.8</v>
      </c>
      <c r="K8" s="52" t="n">
        <f aca="false">MAX($D$8*Assumptions!$C$40,$D$8*Assumptions!$C$10^LOG(MAX(1,SUM($D9:K9)),Assumptions!$C$41))</f>
        <v>9.8</v>
      </c>
      <c r="L8" s="52" t="n">
        <f aca="false">MAX($D$8*Assumptions!$C$40,$D$8*Assumptions!$C$10^LOG(MAX(1,SUM($D9:L9)),Assumptions!$C$41))</f>
        <v>9.8</v>
      </c>
      <c r="M8" s="52" t="n">
        <f aca="false">MAX($D$8*Assumptions!$C$40,$D$8*Assumptions!$C$10^LOG(MAX(1,SUM($D9:M9)),Assumptions!$C$41))</f>
        <v>9.8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4</v>
      </c>
      <c r="E9" s="97" t="n">
        <v>4</v>
      </c>
      <c r="F9" s="97" t="n">
        <v>6</v>
      </c>
      <c r="G9" s="97" t="n">
        <v>6</v>
      </c>
      <c r="H9" s="97" t="n">
        <v>8</v>
      </c>
      <c r="I9" s="97" t="n">
        <v>10</v>
      </c>
      <c r="J9" s="97" t="n">
        <v>12</v>
      </c>
      <c r="K9" s="97" t="n">
        <v>12</v>
      </c>
      <c r="L9" s="97" t="n">
        <v>12</v>
      </c>
      <c r="M9" s="97" t="n">
        <v>15</v>
      </c>
    </row>
    <row r="10" customFormat="false" ht="15" hidden="false" customHeight="true" outlineLevel="0" collapsed="false">
      <c r="B10" s="98" t="s">
        <v>479</v>
      </c>
      <c r="D10" s="23" t="n">
        <f aca="false">D7*D9</f>
        <v>120</v>
      </c>
      <c r="E10" s="23" t="n">
        <f aca="false">E7*E9</f>
        <v>105.891960034745</v>
      </c>
      <c r="F10" s="23" t="n">
        <f aca="false">F7*F9</f>
        <v>153.580546344348</v>
      </c>
      <c r="G10" s="23" t="n">
        <f aca="false">G7*G9</f>
        <v>150.598804776134</v>
      </c>
      <c r="H10" s="23" t="n">
        <f aca="false">H7*H9</f>
        <v>200.798406368178</v>
      </c>
      <c r="I10" s="23" t="n">
        <f aca="false">I7*I9</f>
        <v>250.998007960223</v>
      </c>
      <c r="J10" s="23" t="n">
        <f aca="false">J7*J9</f>
        <v>301.197609552267</v>
      </c>
      <c r="K10" s="23" t="n">
        <f aca="false">K7*K9</f>
        <v>301.197609552267</v>
      </c>
      <c r="L10" s="23" t="n">
        <f aca="false">L7*L9</f>
        <v>301.197609552267</v>
      </c>
      <c r="M10" s="23" t="n">
        <f aca="false">M7*M9</f>
        <v>376.497011940334</v>
      </c>
    </row>
    <row r="11" customFormat="false" ht="15" hidden="false" customHeight="true" outlineLevel="0" collapsed="false">
      <c r="B11" s="96" t="s">
        <v>480</v>
      </c>
      <c r="D11" s="25" t="n">
        <f aca="false">D8*D9</f>
        <v>56</v>
      </c>
      <c r="E11" s="25" t="n">
        <f aca="false">E8*E9</f>
        <v>43.606528</v>
      </c>
      <c r="F11" s="25" t="n">
        <f aca="false">F8*F9</f>
        <v>61.1514405585182</v>
      </c>
      <c r="G11" s="25" t="n">
        <f aca="false">G8*G9</f>
        <v>58.8</v>
      </c>
      <c r="H11" s="25" t="n">
        <f aca="false">H8*H9</f>
        <v>78.4</v>
      </c>
      <c r="I11" s="25" t="n">
        <f aca="false">I8*I9</f>
        <v>98</v>
      </c>
      <c r="J11" s="25" t="n">
        <f aca="false">J8*J9</f>
        <v>117.6</v>
      </c>
      <c r="K11" s="25" t="n">
        <f aca="false">K8*K9</f>
        <v>117.6</v>
      </c>
      <c r="L11" s="25" t="n">
        <f aca="false">L8*L9</f>
        <v>117.6</v>
      </c>
      <c r="M11" s="25" t="n">
        <f aca="false">M8*M9</f>
        <v>147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0.533333333333333</v>
      </c>
      <c r="E12" s="24" t="n">
        <f aca="false">IF(E7=0,0,1-E8/E7)</f>
        <v>0.588197933198215</v>
      </c>
      <c r="F12" s="24" t="n">
        <f aca="false">IF(F7=0,0,1-F8/F7)</f>
        <v>0.60182821318132</v>
      </c>
      <c r="G12" s="24" t="n">
        <f aca="false">IF(G7=0,0,1-G8/G7)</f>
        <v>0.609558654284098</v>
      </c>
      <c r="H12" s="24" t="n">
        <f aca="false">IF(H7=0,0,1-H8/H7)</f>
        <v>0.609558654284098</v>
      </c>
      <c r="I12" s="24" t="n">
        <f aca="false">IF(I7=0,0,1-I8/I7)</f>
        <v>0.609558654284098</v>
      </c>
      <c r="J12" s="24" t="n">
        <f aca="false">IF(J7=0,0,1-J8/J7)</f>
        <v>0.609558654284098</v>
      </c>
      <c r="K12" s="24" t="n">
        <f aca="false">IF(K7=0,0,1-K8/K7)</f>
        <v>0.609558654284098</v>
      </c>
      <c r="L12" s="24" t="n">
        <f aca="false">IF(L7=0,0,1-L8/L7)</f>
        <v>0.609558654284098</v>
      </c>
      <c r="M12" s="24" t="n">
        <f aca="false">IF(M7=0,0,1-M8/M7)</f>
        <v>0.609558654284098</v>
      </c>
    </row>
    <row r="14" customFormat="false" ht="15" hidden="false" customHeight="true" outlineLevel="0" collapsed="false">
      <c r="B14" s="95" t="s">
        <v>492</v>
      </c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35</v>
      </c>
      <c r="E15" s="52" t="n">
        <f aca="false">$D$15*(E16/$D$16)^Assumptions!$C$39</f>
        <v>31.77071683497</v>
      </c>
      <c r="F15" s="52" t="n">
        <f aca="false">$D$15*(F16/$D$16)^Assumptions!$C$39</f>
        <v>29.9962913618613</v>
      </c>
      <c r="G15" s="52" t="n">
        <f aca="false">$D$15*(G16/$D$16)^Assumptions!$C$39</f>
        <v>29.2831009286926</v>
      </c>
      <c r="H15" s="52" t="n">
        <f aca="false">$D$15*(H16/$D$16)^Assumptions!$C$39</f>
        <v>29.2831009286926</v>
      </c>
      <c r="I15" s="52" t="n">
        <f aca="false">$D$15*(I16/$D$16)^Assumptions!$C$39</f>
        <v>29.2831009286926</v>
      </c>
      <c r="J15" s="52" t="n">
        <f aca="false">$D$15*(J16/$D$16)^Assumptions!$C$39</f>
        <v>29.2831009286926</v>
      </c>
      <c r="K15" s="52" t="n">
        <f aca="false">$D$15*(K16/$D$16)^Assumptions!$C$39</f>
        <v>29.2831009286926</v>
      </c>
      <c r="L15" s="52" t="n">
        <f aca="false">$D$15*(L16/$D$16)^Assumptions!$C$39</f>
        <v>29.2831009286926</v>
      </c>
      <c r="M15" s="52" t="n">
        <f aca="false">$D$15*(M16/$D$16)^Assumptions!$C$39</f>
        <v>29.2831009286926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13.775</v>
      </c>
      <c r="E16" s="52" t="n">
        <f aca="false">MAX($D$16*Assumptions!$C$40,$D$16*Assumptions!$C$10^LOG(MAX(1,SUM($D17:E17)),Assumptions!$C$41))</f>
        <v>11.3503576522964</v>
      </c>
      <c r="F16" s="52" t="n">
        <f aca="false">MAX($D$16*Assumptions!$C$40,$D$16*Assumptions!$C$10^LOG(MAX(1,SUM($D17:F17)),Assumptions!$C$41))</f>
        <v>10.1179061224814</v>
      </c>
      <c r="G16" s="52" t="n">
        <f aca="false">MAX($D$16*Assumptions!$C$40,$D$16*Assumptions!$C$10^LOG(MAX(1,SUM($D17:G17)),Assumptions!$C$41))</f>
        <v>9.6425</v>
      </c>
      <c r="H16" s="52" t="n">
        <f aca="false">MAX($D$16*Assumptions!$C$40,$D$16*Assumptions!$C$10^LOG(MAX(1,SUM($D17:H17)),Assumptions!$C$41))</f>
        <v>9.6425</v>
      </c>
      <c r="I16" s="52" t="n">
        <f aca="false">MAX($D$16*Assumptions!$C$40,$D$16*Assumptions!$C$10^LOG(MAX(1,SUM($D17:I17)),Assumptions!$C$41))</f>
        <v>9.6425</v>
      </c>
      <c r="J16" s="52" t="n">
        <f aca="false">MAX($D$16*Assumptions!$C$40,$D$16*Assumptions!$C$10^LOG(MAX(1,SUM($D17:J17)),Assumptions!$C$41))</f>
        <v>9.6425</v>
      </c>
      <c r="K16" s="52" t="n">
        <f aca="false">MAX($D$16*Assumptions!$C$40,$D$16*Assumptions!$C$10^LOG(MAX(1,SUM($D17:K17)),Assumptions!$C$41))</f>
        <v>9.6425</v>
      </c>
      <c r="L16" s="52" t="n">
        <f aca="false">MAX($D$16*Assumptions!$C$40,$D$16*Assumptions!$C$10^LOG(MAX(1,SUM($D17:L17)),Assumptions!$C$41))</f>
        <v>9.6425</v>
      </c>
      <c r="M16" s="52" t="n">
        <f aca="false">MAX($D$16*Assumptions!$C$40,$D$16*Assumptions!$C$10^LOG(MAX(1,SUM($D17:M17)),Assumptions!$C$41))</f>
        <v>9.6425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1</v>
      </c>
      <c r="E17" s="97" t="n">
        <v>4</v>
      </c>
      <c r="F17" s="97" t="n">
        <v>8</v>
      </c>
      <c r="G17" s="97" t="n">
        <v>12</v>
      </c>
      <c r="H17" s="97" t="n">
        <v>12</v>
      </c>
      <c r="I17" s="97" t="n">
        <v>12</v>
      </c>
      <c r="J17" s="97" t="n">
        <v>15</v>
      </c>
      <c r="K17" s="97" t="n">
        <v>15</v>
      </c>
      <c r="L17" s="97" t="n">
        <v>20</v>
      </c>
      <c r="M17" s="97" t="n">
        <v>20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35</v>
      </c>
      <c r="E18" s="23" t="n">
        <f aca="false">E15*E17</f>
        <v>127.08286733988</v>
      </c>
      <c r="F18" s="23" t="n">
        <f aca="false">F15*F17</f>
        <v>239.970330894891</v>
      </c>
      <c r="G18" s="23" t="n">
        <f aca="false">G15*G17</f>
        <v>351.397211144312</v>
      </c>
      <c r="H18" s="23" t="n">
        <f aca="false">H15*H17</f>
        <v>351.397211144312</v>
      </c>
      <c r="I18" s="23" t="n">
        <f aca="false">I15*I17</f>
        <v>351.397211144312</v>
      </c>
      <c r="J18" s="23" t="n">
        <f aca="false">J15*J17</f>
        <v>439.24651393039</v>
      </c>
      <c r="K18" s="23" t="n">
        <f aca="false">K15*K17</f>
        <v>439.24651393039</v>
      </c>
      <c r="L18" s="23" t="n">
        <f aca="false">L15*L17</f>
        <v>585.662018573853</v>
      </c>
      <c r="M18" s="23" t="n">
        <f aca="false">M15*M17</f>
        <v>585.662018573853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13.775</v>
      </c>
      <c r="E19" s="25" t="n">
        <f aca="false">E16*E17</f>
        <v>45.4014306091855</v>
      </c>
      <c r="F19" s="25" t="n">
        <f aca="false">F16*F17</f>
        <v>80.9432489798511</v>
      </c>
      <c r="G19" s="25" t="n">
        <f aca="false">G16*G17</f>
        <v>115.71</v>
      </c>
      <c r="H19" s="25" t="n">
        <f aca="false">H16*H17</f>
        <v>115.71</v>
      </c>
      <c r="I19" s="25" t="n">
        <f aca="false">I16*I17</f>
        <v>115.71</v>
      </c>
      <c r="J19" s="25" t="n">
        <f aca="false">J16*J17</f>
        <v>144.6375</v>
      </c>
      <c r="K19" s="25" t="n">
        <f aca="false">K16*K17</f>
        <v>144.6375</v>
      </c>
      <c r="L19" s="25" t="n">
        <f aca="false">L16*L17</f>
        <v>192.85</v>
      </c>
      <c r="M19" s="25" t="n">
        <f aca="false">M16*M17</f>
        <v>192.85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0.606428571428571</v>
      </c>
      <c r="E20" s="24" t="n">
        <f aca="false">IF(E15=0,0,1-E16/E15)</f>
        <v>0.642741531100644</v>
      </c>
      <c r="F20" s="24" t="n">
        <f aca="false">IF(F15=0,0,1-F16/F15)</f>
        <v>0.662694764481927</v>
      </c>
      <c r="G20" s="24" t="n">
        <f aca="false">IF(G15=0,0,1-G16/G15)</f>
        <v>0.670714518128375</v>
      </c>
      <c r="H20" s="24" t="n">
        <f aca="false">IF(H15=0,0,1-H16/H15)</f>
        <v>0.670714518128375</v>
      </c>
      <c r="I20" s="24" t="n">
        <f aca="false">IF(I15=0,0,1-I16/I15)</f>
        <v>0.670714518128375</v>
      </c>
      <c r="J20" s="24" t="n">
        <f aca="false">IF(J15=0,0,1-J16/J15)</f>
        <v>0.670714518128375</v>
      </c>
      <c r="K20" s="24" t="n">
        <f aca="false">IF(K15=0,0,1-K16/K15)</f>
        <v>0.670714518128375</v>
      </c>
      <c r="L20" s="24" t="n">
        <f aca="false">IF(L15=0,0,1-L16/L15)</f>
        <v>0.670714518128375</v>
      </c>
      <c r="M20" s="24" t="n">
        <f aca="false">IF(M15=0,0,1-M16/M15)</f>
        <v>0.670714518128375</v>
      </c>
    </row>
    <row r="22" customFormat="false" ht="15" hidden="false" customHeight="true" outlineLevel="0" collapsed="false">
      <c r="B22" s="95" t="s">
        <v>493</v>
      </c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2</v>
      </c>
      <c r="E23" s="52" t="n">
        <f aca="false">$D$23*(E24/$D$24)^Assumptions!$C$39</f>
        <v>1.68085005853873</v>
      </c>
      <c r="F23" s="52" t="n">
        <f aca="false">$D$23*(F24/$D$24)^Assumptions!$C$39</f>
        <v>1.67332005306815</v>
      </c>
      <c r="G23" s="52" t="n">
        <f aca="false">$D$23*(G24/$D$24)^Assumptions!$C$39</f>
        <v>1.67332005306815</v>
      </c>
      <c r="H23" s="52" t="n">
        <f aca="false">$D$23*(H24/$D$24)^Assumptions!$C$39</f>
        <v>1.67332005306815</v>
      </c>
      <c r="I23" s="52" t="n">
        <f aca="false">$D$23*(I24/$D$24)^Assumptions!$C$39</f>
        <v>1.67332005306815</v>
      </c>
      <c r="J23" s="52" t="n">
        <f aca="false">$D$23*(J24/$D$24)^Assumptions!$C$39</f>
        <v>1.67332005306815</v>
      </c>
      <c r="K23" s="52" t="n">
        <f aca="false">$D$23*(K24/$D$24)^Assumptions!$C$39</f>
        <v>1.67332005306815</v>
      </c>
      <c r="L23" s="52" t="n">
        <f aca="false">$D$23*(L24/$D$24)^Assumptions!$C$39</f>
        <v>1.67332005306815</v>
      </c>
      <c r="M23" s="52" t="n">
        <f aca="false">$D$23*(M24/$D$24)^Assumptions!$C$39</f>
        <v>1.67332005306815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0.8075</v>
      </c>
      <c r="E24" s="52" t="n">
        <f aca="false">MAX($D$24*Assumptions!$C$40,$D$24*Assumptions!$C$10^LOG(MAX(1,SUM($D25:E25)),Assumptions!$C$41))</f>
        <v>0.570348740581595</v>
      </c>
      <c r="F24" s="52" t="n">
        <f aca="false">MAX($D$24*Assumptions!$C$40,$D$24*Assumptions!$C$10^LOG(MAX(1,SUM($D25:F25)),Assumptions!$C$41))</f>
        <v>0.56525</v>
      </c>
      <c r="G24" s="52" t="n">
        <f aca="false">MAX($D$24*Assumptions!$C$40,$D$24*Assumptions!$C$10^LOG(MAX(1,SUM($D25:G25)),Assumptions!$C$41))</f>
        <v>0.56525</v>
      </c>
      <c r="H24" s="52" t="n">
        <f aca="false">MAX($D$24*Assumptions!$C$40,$D$24*Assumptions!$C$10^LOG(MAX(1,SUM($D25:H25)),Assumptions!$C$41))</f>
        <v>0.56525</v>
      </c>
      <c r="I24" s="52" t="n">
        <f aca="false">MAX($D$24*Assumptions!$C$40,$D$24*Assumptions!$C$10^LOG(MAX(1,SUM($D25:I25)),Assumptions!$C$41))</f>
        <v>0.56525</v>
      </c>
      <c r="J24" s="52" t="n">
        <f aca="false">MAX($D$24*Assumptions!$C$40,$D$24*Assumptions!$C$10^LOG(MAX(1,SUM($D25:J25)),Assumptions!$C$41))</f>
        <v>0.56525</v>
      </c>
      <c r="K24" s="52" t="n">
        <f aca="false">MAX($D$24*Assumptions!$C$40,$D$24*Assumptions!$C$10^LOG(MAX(1,SUM($D25:K25)),Assumptions!$C$41))</f>
        <v>0.56525</v>
      </c>
      <c r="L24" s="52" t="n">
        <f aca="false">MAX($D$24*Assumptions!$C$40,$D$24*Assumptions!$C$10^LOG(MAX(1,SUM($D25:L25)),Assumptions!$C$41))</f>
        <v>0.56525</v>
      </c>
      <c r="M24" s="52" t="n">
        <f aca="false">MAX($D$24*Assumptions!$C$40,$D$24*Assumptions!$C$10^LOG(MAX(1,SUM($D25:M25)),Assumptions!$C$41))</f>
        <v>0.56525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6</v>
      </c>
      <c r="E25" s="97" t="n">
        <v>12</v>
      </c>
      <c r="F25" s="97" t="n">
        <v>20</v>
      </c>
      <c r="G25" s="97" t="n">
        <v>30</v>
      </c>
      <c r="H25" s="97" t="n">
        <v>40</v>
      </c>
      <c r="I25" s="97" t="n">
        <v>50</v>
      </c>
      <c r="J25" s="97" t="n">
        <v>60</v>
      </c>
      <c r="K25" s="97" t="n">
        <v>70</v>
      </c>
      <c r="L25" s="97" t="n">
        <v>75</v>
      </c>
      <c r="M25" s="97" t="n">
        <v>80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12</v>
      </c>
      <c r="E26" s="23" t="n">
        <f aca="false">E23*E25</f>
        <v>20.1702007024647</v>
      </c>
      <c r="F26" s="23" t="n">
        <f aca="false">F23*F25</f>
        <v>33.466401061363</v>
      </c>
      <c r="G26" s="23" t="n">
        <f aca="false">G23*G25</f>
        <v>50.1996015920445</v>
      </c>
      <c r="H26" s="23" t="n">
        <f aca="false">H23*H25</f>
        <v>66.9328021227261</v>
      </c>
      <c r="I26" s="23" t="n">
        <f aca="false">I23*I25</f>
        <v>83.6660026534076</v>
      </c>
      <c r="J26" s="23" t="n">
        <f aca="false">J23*J25</f>
        <v>100.399203184089</v>
      </c>
      <c r="K26" s="23" t="n">
        <f aca="false">K23*K25</f>
        <v>117.132403714771</v>
      </c>
      <c r="L26" s="23" t="n">
        <f aca="false">L23*L25</f>
        <v>125.499003980111</v>
      </c>
      <c r="M26" s="23" t="n">
        <f aca="false">M23*M25</f>
        <v>133.865604245452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4.845</v>
      </c>
      <c r="E27" s="25" t="n">
        <f aca="false">E24*E25</f>
        <v>6.84418488697914</v>
      </c>
      <c r="F27" s="25" t="n">
        <f aca="false">F24*F25</f>
        <v>11.305</v>
      </c>
      <c r="G27" s="25" t="n">
        <f aca="false">G24*G25</f>
        <v>16.9575</v>
      </c>
      <c r="H27" s="25" t="n">
        <f aca="false">H24*H25</f>
        <v>22.61</v>
      </c>
      <c r="I27" s="25" t="n">
        <f aca="false">I24*I25</f>
        <v>28.2625</v>
      </c>
      <c r="J27" s="25" t="n">
        <f aca="false">J24*J25</f>
        <v>33.915</v>
      </c>
      <c r="K27" s="25" t="n">
        <f aca="false">K24*K25</f>
        <v>39.5675</v>
      </c>
      <c r="L27" s="25" t="n">
        <f aca="false">L24*L25</f>
        <v>42.39375</v>
      </c>
      <c r="M27" s="25" t="n">
        <f aca="false">M24*M25</f>
        <v>45.22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0.59625</v>
      </c>
      <c r="E28" s="24" t="n">
        <f aca="false">IF(E23=0,0,1-E24/E23)</f>
        <v>0.660678394432495</v>
      </c>
      <c r="F28" s="24" t="n">
        <f aca="false">IF(F23=0,0,1-F24/F23)</f>
        <v>0.662198514286867</v>
      </c>
      <c r="G28" s="24" t="n">
        <f aca="false">IF(G23=0,0,1-G24/G23)</f>
        <v>0.662198514286867</v>
      </c>
      <c r="H28" s="24" t="n">
        <f aca="false">IF(H23=0,0,1-H24/H23)</f>
        <v>0.662198514286867</v>
      </c>
      <c r="I28" s="24" t="n">
        <f aca="false">IF(I23=0,0,1-I24/I23)</f>
        <v>0.662198514286867</v>
      </c>
      <c r="J28" s="24" t="n">
        <f aca="false">IF(J23=0,0,1-J24/J23)</f>
        <v>0.662198514286867</v>
      </c>
      <c r="K28" s="24" t="n">
        <f aca="false">IF(K23=0,0,1-K24/K23)</f>
        <v>0.662198514286867</v>
      </c>
      <c r="L28" s="24" t="n">
        <f aca="false">IF(L23=0,0,1-L24/L23)</f>
        <v>0.662198514286867</v>
      </c>
      <c r="M28" s="24" t="n">
        <f aca="false">IF(M23=0,0,1-M24/M23)</f>
        <v>0.662198514286867</v>
      </c>
    </row>
    <row r="30" customFormat="false" ht="15" hidden="false" customHeight="true" outlineLevel="0" collapsed="false">
      <c r="B30" s="95" t="s">
        <v>494</v>
      </c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</row>
    <row r="31" customFormat="false" ht="15" hidden="false" customHeight="true" outlineLevel="0" collapsed="false">
      <c r="B31" s="96" t="s">
        <v>475</v>
      </c>
      <c r="C31" s="54" t="s">
        <v>476</v>
      </c>
      <c r="D31" s="52" t="n">
        <v>114</v>
      </c>
      <c r="E31" s="52" t="n">
        <f aca="false">$D$31*(E32/$D$32)^Assumptions!$C$39</f>
        <v>114</v>
      </c>
      <c r="F31" s="52" t="n">
        <f aca="false">$D$31*(F32/$D$32)^Assumptions!$C$39</f>
        <v>106.710556180044</v>
      </c>
      <c r="G31" s="52" t="n">
        <f aca="false">$D$31*(G32/$D$32)^Assumptions!$C$39</f>
        <v>101.408565833264</v>
      </c>
      <c r="H31" s="52" t="n">
        <f aca="false">$D$31*(H32/$D$32)^Assumptions!$C$39</f>
        <v>98.6888489874407</v>
      </c>
      <c r="I31" s="52" t="n">
        <f aca="false">$D$31*(I32/$D$32)^Assumptions!$C$39</f>
        <v>96.8648818199524</v>
      </c>
      <c r="J31" s="52" t="n">
        <f aca="false">$D$31*(J32/$D$32)^Assumptions!$C$39</f>
        <v>95.4973915050881</v>
      </c>
      <c r="K31" s="52" t="n">
        <f aca="false">$D$31*(K32/$D$32)^Assumptions!$C$39</f>
        <v>95.3792430248846</v>
      </c>
      <c r="L31" s="52" t="n">
        <f aca="false">$D$31*(L32/$D$32)^Assumptions!$C$39</f>
        <v>95.3792430248846</v>
      </c>
      <c r="M31" s="52" t="n">
        <f aca="false">$D$31*(M32/$D$32)^Assumptions!$C$39</f>
        <v>95.3792430248846</v>
      </c>
    </row>
    <row r="32" customFormat="false" ht="15" hidden="false" customHeight="true" outlineLevel="0" collapsed="false">
      <c r="B32" s="96" t="s">
        <v>477</v>
      </c>
      <c r="C32" s="54" t="s">
        <v>476</v>
      </c>
      <c r="D32" s="52" t="n">
        <v>60</v>
      </c>
      <c r="E32" s="52" t="n">
        <f aca="false">MAX($D$32*Assumptions!$C$40,$D$32*Assumptions!$C$10^LOG(MAX(1,SUM($D33:E33)),Assumptions!$C$41))</f>
        <v>60</v>
      </c>
      <c r="F32" s="52" t="n">
        <f aca="false">MAX($D$32*Assumptions!$C$40,$D$32*Assumptions!$C$10^LOG(MAX(1,SUM($D33:F33)),Assumptions!$C$41))</f>
        <v>52.5722197611003</v>
      </c>
      <c r="G32" s="52" t="n">
        <f aca="false">MAX($D$32*Assumptions!$C$40,$D$32*Assumptions!$C$10^LOG(MAX(1,SUM($D33:G33)),Assumptions!$C$41))</f>
        <v>47.4778265205886</v>
      </c>
      <c r="H32" s="52" t="n">
        <f aca="false">MAX($D$32*Assumptions!$C$40,$D$32*Assumptions!$C$10^LOG(MAX(1,SUM($D33:H33)),Assumptions!$C$41))</f>
        <v>44.9653227814676</v>
      </c>
      <c r="I32" s="52" t="n">
        <f aca="false">MAX($D$32*Assumptions!$C$40,$D$32*Assumptions!$C$10^LOG(MAX(1,SUM($D33:I33)),Assumptions!$C$41))</f>
        <v>43.3185841643276</v>
      </c>
      <c r="J32" s="52" t="n">
        <f aca="false">MAX($D$32*Assumptions!$C$40,$D$32*Assumptions!$C$10^LOG(MAX(1,SUM($D33:J33)),Assumptions!$C$41))</f>
        <v>42.104117194257</v>
      </c>
      <c r="K32" s="52" t="n">
        <f aca="false">MAX($D$32*Assumptions!$C$40,$D$32*Assumptions!$C$10^LOG(MAX(1,SUM($D33:K33)),Assumptions!$C$41))</f>
        <v>42</v>
      </c>
      <c r="L32" s="52" t="n">
        <f aca="false">MAX($D$32*Assumptions!$C$40,$D$32*Assumptions!$C$10^LOG(MAX(1,SUM($D33:L33)),Assumptions!$C$41))</f>
        <v>42</v>
      </c>
      <c r="M32" s="52" t="n">
        <f aca="false">MAX($D$32*Assumptions!$C$40,$D$32*Assumptions!$C$10^LOG(MAX(1,SUM($D33:M33)),Assumptions!$C$41))</f>
        <v>42</v>
      </c>
    </row>
    <row r="33" customFormat="false" ht="15" hidden="false" customHeight="true" outlineLevel="0" collapsed="false">
      <c r="B33" s="96" t="s">
        <v>478</v>
      </c>
      <c r="C33" s="54" t="s">
        <v>476</v>
      </c>
      <c r="D33" s="97" t="n">
        <v>0</v>
      </c>
      <c r="E33" s="97" t="n">
        <v>1</v>
      </c>
      <c r="F33" s="97" t="n">
        <v>2</v>
      </c>
      <c r="G33" s="97" t="n">
        <v>4</v>
      </c>
      <c r="H33" s="97" t="n">
        <v>4</v>
      </c>
      <c r="I33" s="97" t="n">
        <v>4</v>
      </c>
      <c r="J33" s="97" t="n">
        <v>4</v>
      </c>
      <c r="K33" s="97" t="n">
        <v>8</v>
      </c>
      <c r="L33" s="97" t="n">
        <v>8</v>
      </c>
      <c r="M33" s="97" t="n">
        <v>8</v>
      </c>
    </row>
    <row r="34" customFormat="false" ht="15" hidden="false" customHeight="true" outlineLevel="0" collapsed="false">
      <c r="B34" s="98" t="s">
        <v>479</v>
      </c>
      <c r="D34" s="23" t="n">
        <f aca="false">D31*D33</f>
        <v>0</v>
      </c>
      <c r="E34" s="23" t="n">
        <f aca="false">E31*E33</f>
        <v>114</v>
      </c>
      <c r="F34" s="23" t="n">
        <f aca="false">F31*F33</f>
        <v>213.421112360088</v>
      </c>
      <c r="G34" s="23" t="n">
        <f aca="false">G31*G33</f>
        <v>405.634263333057</v>
      </c>
      <c r="H34" s="23" t="n">
        <f aca="false">H31*H33</f>
        <v>394.755395949763</v>
      </c>
      <c r="I34" s="23" t="n">
        <f aca="false">I31*I33</f>
        <v>387.45952727981</v>
      </c>
      <c r="J34" s="23" t="n">
        <f aca="false">J31*J33</f>
        <v>381.989566020352</v>
      </c>
      <c r="K34" s="23" t="n">
        <f aca="false">K31*K33</f>
        <v>763.033944199077</v>
      </c>
      <c r="L34" s="23" t="n">
        <f aca="false">L31*L33</f>
        <v>763.033944199077</v>
      </c>
      <c r="M34" s="23" t="n">
        <f aca="false">M31*M33</f>
        <v>763.033944199077</v>
      </c>
    </row>
    <row r="35" customFormat="false" ht="15" hidden="false" customHeight="true" outlineLevel="0" collapsed="false">
      <c r="B35" s="96" t="s">
        <v>480</v>
      </c>
      <c r="D35" s="25" t="n">
        <f aca="false">D32*D33</f>
        <v>0</v>
      </c>
      <c r="E35" s="25" t="n">
        <f aca="false">E32*E33</f>
        <v>60</v>
      </c>
      <c r="F35" s="25" t="n">
        <f aca="false">F32*F33</f>
        <v>105.144439522201</v>
      </c>
      <c r="G35" s="25" t="n">
        <f aca="false">G32*G33</f>
        <v>189.911306082355</v>
      </c>
      <c r="H35" s="25" t="n">
        <f aca="false">H32*H33</f>
        <v>179.86129112587</v>
      </c>
      <c r="I35" s="25" t="n">
        <f aca="false">I32*I33</f>
        <v>173.27433665731</v>
      </c>
      <c r="J35" s="25" t="n">
        <f aca="false">J32*J33</f>
        <v>168.416468777028</v>
      </c>
      <c r="K35" s="25" t="n">
        <f aca="false">K32*K33</f>
        <v>336</v>
      </c>
      <c r="L35" s="25" t="n">
        <f aca="false">L32*L33</f>
        <v>336</v>
      </c>
      <c r="M35" s="25" t="n">
        <f aca="false">M32*M33</f>
        <v>336</v>
      </c>
    </row>
    <row r="36" customFormat="false" ht="15" hidden="false" customHeight="true" outlineLevel="0" collapsed="false">
      <c r="B36" s="99" t="s">
        <v>481</v>
      </c>
      <c r="D36" s="24" t="n">
        <f aca="false">IF(D31=0,0,1-D32/D31)</f>
        <v>0.473684210526316</v>
      </c>
      <c r="E36" s="24" t="n">
        <f aca="false">IF(E31=0,0,1-E32/E31)</f>
        <v>0.473684210526316</v>
      </c>
      <c r="F36" s="24" t="n">
        <f aca="false">IF(F31=0,0,1-F32/F31)</f>
        <v>0.507338152446704</v>
      </c>
      <c r="G36" s="24" t="n">
        <f aca="false">IF(G31=0,0,1-G32/G31)</f>
        <v>0.531816408895363</v>
      </c>
      <c r="H36" s="24" t="n">
        <f aca="false">IF(H31=0,0,1-H32/H31)</f>
        <v>0.544372811692333</v>
      </c>
      <c r="I36" s="24" t="n">
        <f aca="false">IF(I31=0,0,1-I32/I31)</f>
        <v>0.552793712742602</v>
      </c>
      <c r="J36" s="24" t="n">
        <f aca="false">IF(J31=0,0,1-J32/J31)</f>
        <v>0.559107149099316</v>
      </c>
      <c r="K36" s="24" t="n">
        <f aca="false">IF(K31=0,0,1-K32/K31)</f>
        <v>0.559652617613645</v>
      </c>
      <c r="L36" s="24" t="n">
        <f aca="false">IF(L31=0,0,1-L32/L31)</f>
        <v>0.559652617613645</v>
      </c>
      <c r="M36" s="24" t="n">
        <f aca="false">IF(M31=0,0,1-M32/M31)</f>
        <v>0.559652617613645</v>
      </c>
    </row>
    <row r="38" customFormat="false" ht="21.75" hidden="false" customHeight="true" outlineLevel="0" collapsed="false">
      <c r="B38" s="6" t="s">
        <v>495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customFormat="false" ht="15" hidden="false" customHeight="true" outlineLevel="0" collapsed="false">
      <c r="B39" s="53" t="s">
        <v>64</v>
      </c>
      <c r="D39" s="55" t="n">
        <f aca="false">D10+D18+D26+D34</f>
        <v>167</v>
      </c>
      <c r="E39" s="55" t="n">
        <f aca="false">E10+E18+E26+E34</f>
        <v>367.14502807709</v>
      </c>
      <c r="F39" s="55" t="n">
        <f aca="false">F10+F18+F26+F34</f>
        <v>640.43839066069</v>
      </c>
      <c r="G39" s="55" t="n">
        <f aca="false">G10+G18+G26+G34</f>
        <v>957.829880845547</v>
      </c>
      <c r="H39" s="55" t="n">
        <f aca="false">H10+H18+H26+H34</f>
        <v>1013.88381558498</v>
      </c>
      <c r="I39" s="55" t="n">
        <f aca="false">I10+I18+I26+I34</f>
        <v>1073.52074903775</v>
      </c>
      <c r="J39" s="55" t="n">
        <f aca="false">J10+J18+J26+J34</f>
        <v>1222.8328926871</v>
      </c>
      <c r="K39" s="55" t="n">
        <f aca="false">K10+K18+K26+K34</f>
        <v>1620.6104713965</v>
      </c>
      <c r="L39" s="55" t="n">
        <f aca="false">L10+L18+L26+L34</f>
        <v>1775.39257630531</v>
      </c>
      <c r="M39" s="55" t="n">
        <f aca="false">M10+M18+M26+M34</f>
        <v>1859.05857895872</v>
      </c>
    </row>
    <row r="40" customFormat="false" ht="15" hidden="false" customHeight="true" outlineLevel="0" collapsed="false">
      <c r="B40" s="53" t="s">
        <v>485</v>
      </c>
      <c r="D40" s="55" t="n">
        <f aca="false">D11+D19+D27+D35</f>
        <v>74.62</v>
      </c>
      <c r="E40" s="55" t="n">
        <f aca="false">E11+E19+E27+E35</f>
        <v>155.852143496165</v>
      </c>
      <c r="F40" s="55" t="n">
        <f aca="false">F11+F19+F27+F35</f>
        <v>258.54412906057</v>
      </c>
      <c r="G40" s="55" t="n">
        <f aca="false">G11+G19+G27+G35</f>
        <v>381.378806082354</v>
      </c>
      <c r="H40" s="55" t="n">
        <f aca="false">H11+H19+H27+H35</f>
        <v>396.58129112587</v>
      </c>
      <c r="I40" s="55" t="n">
        <f aca="false">I11+I19+I27+I35</f>
        <v>415.24683665731</v>
      </c>
      <c r="J40" s="55" t="n">
        <f aca="false">J11+J19+J27+J35</f>
        <v>464.568968777028</v>
      </c>
      <c r="K40" s="55" t="n">
        <f aca="false">K11+K19+K27+K35</f>
        <v>637.805</v>
      </c>
      <c r="L40" s="55" t="n">
        <f aca="false">L11+L19+L27+L35</f>
        <v>688.84375</v>
      </c>
      <c r="M40" s="55" t="n">
        <f aca="false">M11+M19+M27+M35</f>
        <v>721.07</v>
      </c>
    </row>
    <row r="41" customFormat="false" ht="15" hidden="false" customHeight="true" outlineLevel="0" collapsed="false">
      <c r="B41" s="53" t="s">
        <v>486</v>
      </c>
      <c r="D41" s="100" t="n">
        <f aca="false">D9+D17+D25+D33</f>
        <v>11</v>
      </c>
      <c r="E41" s="100" t="n">
        <f aca="false">E9+E17+E25+E33</f>
        <v>21</v>
      </c>
      <c r="F41" s="100" t="n">
        <f aca="false">F9+F17+F25+F33</f>
        <v>36</v>
      </c>
      <c r="G41" s="100" t="n">
        <f aca="false">G9+G17+G25+G33</f>
        <v>52</v>
      </c>
      <c r="H41" s="100" t="n">
        <f aca="false">H9+H17+H25+H33</f>
        <v>64</v>
      </c>
      <c r="I41" s="100" t="n">
        <f aca="false">I9+I17+I25+I33</f>
        <v>76</v>
      </c>
      <c r="J41" s="100" t="n">
        <f aca="false">J9+J17+J25+J33</f>
        <v>91</v>
      </c>
      <c r="K41" s="100" t="n">
        <f aca="false">K9+K17+K25+K33</f>
        <v>105</v>
      </c>
      <c r="L41" s="100" t="n">
        <f aca="false">L9+L17+L25+L33</f>
        <v>115</v>
      </c>
      <c r="M41" s="100" t="n">
        <f aca="false">M9+M17+M25+M33</f>
        <v>123</v>
      </c>
    </row>
    <row r="42" customFormat="false" ht="15" hidden="false" customHeight="true" outlineLevel="0" collapsed="false">
      <c r="B42" s="53" t="s">
        <v>487</v>
      </c>
      <c r="D42" s="55" t="n">
        <f aca="false">D39-D40</f>
        <v>92.38</v>
      </c>
      <c r="E42" s="55" t="n">
        <f aca="false">E39-E40</f>
        <v>211.292884580925</v>
      </c>
      <c r="F42" s="55" t="n">
        <f aca="false">F39-F40</f>
        <v>381.89426160012</v>
      </c>
      <c r="G42" s="55" t="n">
        <f aca="false">G39-G40</f>
        <v>576.451074763193</v>
      </c>
      <c r="H42" s="55" t="n">
        <f aca="false">H39-H40</f>
        <v>617.302524459108</v>
      </c>
      <c r="I42" s="55" t="n">
        <f aca="false">I39-I40</f>
        <v>658.273912380441</v>
      </c>
      <c r="J42" s="55" t="n">
        <f aca="false">J39-J40</f>
        <v>758.26392391007</v>
      </c>
      <c r="K42" s="55" t="n">
        <f aca="false">K39-K40</f>
        <v>982.805471396504</v>
      </c>
      <c r="L42" s="55" t="n">
        <f aca="false">L39-L40</f>
        <v>1086.54882630531</v>
      </c>
      <c r="M42" s="55" t="n">
        <f aca="false">M39-M40</f>
        <v>1137.98857895872</v>
      </c>
    </row>
    <row r="43" customFormat="false" ht="15" hidden="false" customHeight="true" outlineLevel="0" collapsed="false">
      <c r="B43" s="53" t="s">
        <v>67</v>
      </c>
      <c r="D43" s="101" t="n">
        <f aca="false">IFERROR((D39-D40)/D39,0)</f>
        <v>0.553173652694611</v>
      </c>
      <c r="E43" s="101" t="n">
        <f aca="false">IFERROR((E39-E40)/E39,0)</f>
        <v>0.575502508334553</v>
      </c>
      <c r="F43" s="101" t="n">
        <f aca="false">IFERROR((F39-F40)/F39,0)</f>
        <v>0.596301326043477</v>
      </c>
      <c r="G43" s="101" t="n">
        <f aca="false">IFERROR((G39-G40)/G39,0)</f>
        <v>0.601830331555659</v>
      </c>
      <c r="H43" s="101" t="n">
        <f aca="false">IFERROR((H39-H40)/H39,0)</f>
        <v>0.608849372058419</v>
      </c>
      <c r="I43" s="101" t="n">
        <f aca="false">IFERROR((I39-I40)/I39,0)</f>
        <v>0.613191606189712</v>
      </c>
      <c r="J43" s="101" t="n">
        <f aca="false">IFERROR((J39-J40)/J39,0)</f>
        <v>0.620087935518183</v>
      </c>
      <c r="K43" s="101" t="n">
        <f aca="false">IFERROR((K39-K40)/K39,0)</f>
        <v>0.606441516171129</v>
      </c>
      <c r="L43" s="101" t="n">
        <f aca="false">IFERROR((L39-L40)/L39,0)</f>
        <v>0.612004826879741</v>
      </c>
      <c r="M43" s="101" t="n">
        <f aca="false">IFERROR((M39-M40)/M39,0)</f>
        <v>0.612131641164378</v>
      </c>
    </row>
    <row r="44" customFormat="false" ht="15" hidden="false" customHeight="true" outlineLevel="0" collapsed="false">
      <c r="B44" s="54" t="s">
        <v>488</v>
      </c>
      <c r="D44" s="25" t="n">
        <f aca="false">D39</f>
        <v>167</v>
      </c>
      <c r="E44" s="25" t="n">
        <f aca="false">D44+E39</f>
        <v>534.14502807709</v>
      </c>
      <c r="F44" s="25" t="n">
        <f aca="false">E44+F39</f>
        <v>1174.58341873778</v>
      </c>
      <c r="G44" s="25" t="n">
        <f aca="false">F44+G39</f>
        <v>2132.41329958333</v>
      </c>
      <c r="H44" s="25" t="n">
        <f aca="false">G44+H39</f>
        <v>3146.29711516831</v>
      </c>
      <c r="I44" s="25" t="n">
        <f aca="false">H44+I39</f>
        <v>4219.81786420606</v>
      </c>
      <c r="J44" s="25" t="n">
        <f aca="false">I44+J39</f>
        <v>5442.65075689316</v>
      </c>
      <c r="K44" s="25" t="n">
        <f aca="false">J44+K39</f>
        <v>7063.26122828966</v>
      </c>
      <c r="L44" s="25" t="n">
        <f aca="false">K44+L39</f>
        <v>8838.65380459497</v>
      </c>
      <c r="M44" s="25" t="n">
        <f aca="false">L44+M39</f>
        <v>10697.7123835537</v>
      </c>
    </row>
  </sheetData>
  <mergeCells count="8">
    <mergeCell ref="B1:M1"/>
    <mergeCell ref="B2:N2"/>
    <mergeCell ref="C3:M3"/>
    <mergeCell ref="B6:M6"/>
    <mergeCell ref="B14:M14"/>
    <mergeCell ref="B22:M22"/>
    <mergeCell ref="B30:M30"/>
    <mergeCell ref="B38:N3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D26" activeCellId="0" sqref="D2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496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497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102" t="s">
        <v>498</v>
      </c>
      <c r="C6" s="102"/>
      <c r="D6" s="102"/>
      <c r="E6" s="102"/>
      <c r="F6" s="102"/>
      <c r="G6" s="102"/>
      <c r="H6" s="102"/>
      <c r="I6" s="102"/>
      <c r="J6" s="102"/>
      <c r="K6" s="102"/>
      <c r="L6" s="102"/>
      <c r="M6" s="102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1.5</v>
      </c>
      <c r="E7" s="52" t="n">
        <f aca="false">$D$7*(E8/$D$8)^Assumptions!$C$39</f>
        <v>1.30600290270335</v>
      </c>
      <c r="F7" s="52" t="n">
        <f aca="false">$D$7*(F8/$D$8)^Assumptions!$C$39</f>
        <v>1.25499003980111</v>
      </c>
      <c r="G7" s="52" t="n">
        <f aca="false">$D$7*(G8/$D$8)^Assumptions!$C$39</f>
        <v>1.25499003980111</v>
      </c>
      <c r="H7" s="52" t="n">
        <f aca="false">$D$7*(H8/$D$8)^Assumptions!$C$39</f>
        <v>1.25499003980111</v>
      </c>
      <c r="I7" s="52" t="n">
        <f aca="false">$D$7*(I8/$D$8)^Assumptions!$C$39</f>
        <v>1.25499003980111</v>
      </c>
      <c r="J7" s="52" t="n">
        <f aca="false">$D$7*(J8/$D$8)^Assumptions!$C$39</f>
        <v>1.25499003980111</v>
      </c>
      <c r="K7" s="52" t="n">
        <f aca="false">$D$7*(K8/$D$8)^Assumptions!$C$39</f>
        <v>1.25499003980111</v>
      </c>
      <c r="L7" s="52" t="n">
        <f aca="false">$D$7*(L8/$D$8)^Assumptions!$C$39</f>
        <v>1.25499003980111</v>
      </c>
      <c r="M7" s="52" t="n">
        <f aca="false">$D$7*(M8/$D$8)^Assumptions!$C$39</f>
        <v>1.25499003980111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0.9</v>
      </c>
      <c r="E8" s="52" t="n">
        <f aca="false">MAX($D$8*Assumptions!$C$40,$D$8*Assumptions!$C$10^LOG(MAX(1,SUM($D9:E9)),Assumptions!$C$41))</f>
        <v>0.682257432747834</v>
      </c>
      <c r="F8" s="52" t="n">
        <f aca="false">MAX($D$8*Assumptions!$C$40,$D$8*Assumptions!$C$10^LOG(MAX(1,SUM($D9:F9)),Assumptions!$C$41))</f>
        <v>0.63</v>
      </c>
      <c r="G8" s="52" t="n">
        <f aca="false">MAX($D$8*Assumptions!$C$40,$D$8*Assumptions!$C$10^LOG(MAX(1,SUM($D9:G9)),Assumptions!$C$41))</f>
        <v>0.63</v>
      </c>
      <c r="H8" s="52" t="n">
        <f aca="false">MAX($D$8*Assumptions!$C$40,$D$8*Assumptions!$C$10^LOG(MAX(1,SUM($D9:H9)),Assumptions!$C$41))</f>
        <v>0.63</v>
      </c>
      <c r="I8" s="52" t="n">
        <f aca="false">MAX($D$8*Assumptions!$C$40,$D$8*Assumptions!$C$10^LOG(MAX(1,SUM($D9:I9)),Assumptions!$C$41))</f>
        <v>0.63</v>
      </c>
      <c r="J8" s="52" t="n">
        <f aca="false">MAX($D$8*Assumptions!$C$40,$D$8*Assumptions!$C$10^LOG(MAX(1,SUM($D9:J9)),Assumptions!$C$41))</f>
        <v>0.63</v>
      </c>
      <c r="K8" s="52" t="n">
        <f aca="false">MAX($D$8*Assumptions!$C$40,$D$8*Assumptions!$C$10^LOG(MAX(1,SUM($D9:K9)),Assumptions!$C$41))</f>
        <v>0.63</v>
      </c>
      <c r="L8" s="52" t="n">
        <f aca="false">MAX($D$8*Assumptions!$C$40,$D$8*Assumptions!$C$10^LOG(MAX(1,SUM($D9:L9)),Assumptions!$C$41))</f>
        <v>0.63</v>
      </c>
      <c r="M8" s="52" t="n">
        <f aca="false">MAX($D$8*Assumptions!$C$40,$D$8*Assumptions!$C$10^LOG(MAX(1,SUM($D9:M9)),Assumptions!$C$41))</f>
        <v>0.63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0</v>
      </c>
      <c r="E9" s="97" t="n">
        <v>10</v>
      </c>
      <c r="F9" s="97" t="n">
        <v>40</v>
      </c>
      <c r="G9" s="97" t="n">
        <v>80</v>
      </c>
      <c r="H9" s="97" t="n">
        <v>130</v>
      </c>
      <c r="I9" s="97" t="n">
        <v>180</v>
      </c>
      <c r="J9" s="97" t="n">
        <v>220</v>
      </c>
      <c r="K9" s="97" t="n">
        <v>260</v>
      </c>
      <c r="L9" s="97" t="n">
        <v>290</v>
      </c>
      <c r="M9" s="97" t="n">
        <v>320</v>
      </c>
    </row>
    <row r="10" customFormat="false" ht="15" hidden="false" customHeight="true" outlineLevel="0" collapsed="false">
      <c r="B10" s="98" t="s">
        <v>479</v>
      </c>
      <c r="D10" s="23" t="n">
        <f aca="false">D7*D9</f>
        <v>0</v>
      </c>
      <c r="E10" s="23" t="n">
        <f aca="false">E7*E9</f>
        <v>13.0600290270335</v>
      </c>
      <c r="F10" s="23" t="n">
        <f aca="false">F7*F9</f>
        <v>50.1996015920445</v>
      </c>
      <c r="G10" s="23" t="n">
        <f aca="false">G7*G9</f>
        <v>100.399203184089</v>
      </c>
      <c r="H10" s="23" t="n">
        <f aca="false">H7*H9</f>
        <v>163.148705174145</v>
      </c>
      <c r="I10" s="23" t="n">
        <f aca="false">I7*I9</f>
        <v>225.8982071642</v>
      </c>
      <c r="J10" s="23" t="n">
        <f aca="false">J7*J9</f>
        <v>276.097808756245</v>
      </c>
      <c r="K10" s="23" t="n">
        <f aca="false">K7*K9</f>
        <v>326.29741034829</v>
      </c>
      <c r="L10" s="23" t="n">
        <f aca="false">L7*L9</f>
        <v>363.947111542323</v>
      </c>
      <c r="M10" s="23" t="n">
        <f aca="false">M7*M9</f>
        <v>401.596812736356</v>
      </c>
    </row>
    <row r="11" customFormat="false" ht="15" hidden="false" customHeight="true" outlineLevel="0" collapsed="false">
      <c r="B11" s="96" t="s">
        <v>480</v>
      </c>
      <c r="D11" s="25" t="n">
        <f aca="false">D8*D9</f>
        <v>0</v>
      </c>
      <c r="E11" s="25" t="n">
        <f aca="false">E8*E9</f>
        <v>6.82257432747834</v>
      </c>
      <c r="F11" s="25" t="n">
        <f aca="false">F8*F9</f>
        <v>25.2</v>
      </c>
      <c r="G11" s="25" t="n">
        <f aca="false">G8*G9</f>
        <v>50.4</v>
      </c>
      <c r="H11" s="25" t="n">
        <f aca="false">H8*H9</f>
        <v>81.9</v>
      </c>
      <c r="I11" s="25" t="n">
        <f aca="false">I8*I9</f>
        <v>113.4</v>
      </c>
      <c r="J11" s="25" t="n">
        <f aca="false">J8*J9</f>
        <v>138.6</v>
      </c>
      <c r="K11" s="25" t="n">
        <f aca="false">K8*K9</f>
        <v>163.8</v>
      </c>
      <c r="L11" s="25" t="n">
        <f aca="false">L8*L9</f>
        <v>182.7</v>
      </c>
      <c r="M11" s="25" t="n">
        <f aca="false">M8*M9</f>
        <v>201.6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0.4</v>
      </c>
      <c r="E12" s="24" t="n">
        <f aca="false">IF(E7=0,0,1-E8/E7)</f>
        <v>0.477598838918659</v>
      </c>
      <c r="F12" s="24" t="n">
        <f aca="false">IF(F7=0,0,1-F8/F7)</f>
        <v>0.498003984079555</v>
      </c>
      <c r="G12" s="24" t="n">
        <f aca="false">IF(G7=0,0,1-G8/G7)</f>
        <v>0.498003984079555</v>
      </c>
      <c r="H12" s="24" t="n">
        <f aca="false">IF(H7=0,0,1-H8/H7)</f>
        <v>0.498003984079555</v>
      </c>
      <c r="I12" s="24" t="n">
        <f aca="false">IF(I7=0,0,1-I8/I7)</f>
        <v>0.498003984079555</v>
      </c>
      <c r="J12" s="24" t="n">
        <f aca="false">IF(J7=0,0,1-J8/J7)</f>
        <v>0.498003984079555</v>
      </c>
      <c r="K12" s="24" t="n">
        <f aca="false">IF(K7=0,0,1-K8/K7)</f>
        <v>0.498003984079555</v>
      </c>
      <c r="L12" s="24" t="n">
        <f aca="false">IF(L7=0,0,1-L8/L7)</f>
        <v>0.498003984079555</v>
      </c>
      <c r="M12" s="24" t="n">
        <f aca="false">IF(M7=0,0,1-M8/M7)</f>
        <v>0.498003984079555</v>
      </c>
    </row>
    <row r="14" customFormat="false" ht="15" hidden="false" customHeight="true" outlineLevel="0" collapsed="false">
      <c r="B14" s="102" t="s">
        <v>499</v>
      </c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102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14.25</v>
      </c>
      <c r="E15" s="52" t="n">
        <f aca="false">$D$15*(E16/$D$16)^Assumptions!$C$39</f>
        <v>13.3388195225055</v>
      </c>
      <c r="F15" s="52" t="n">
        <f aca="false">$D$15*(F16/$D$16)^Assumptions!$C$39</f>
        <v>12.4070275756819</v>
      </c>
      <c r="G15" s="52" t="n">
        <f aca="false">$D$15*(G16/$D$16)^Assumptions!$C$39</f>
        <v>11.9224053781106</v>
      </c>
      <c r="H15" s="52" t="n">
        <f aca="false">$D$15*(H16/$D$16)^Assumptions!$C$39</f>
        <v>11.9224053781106</v>
      </c>
      <c r="I15" s="52" t="n">
        <f aca="false">$D$15*(I16/$D$16)^Assumptions!$C$39</f>
        <v>11.9224053781106</v>
      </c>
      <c r="J15" s="52" t="n">
        <f aca="false">$D$15*(J16/$D$16)^Assumptions!$C$39</f>
        <v>11.9224053781106</v>
      </c>
      <c r="K15" s="52" t="n">
        <f aca="false">$D$15*(K16/$D$16)^Assumptions!$C$39</f>
        <v>11.9224053781106</v>
      </c>
      <c r="L15" s="52" t="n">
        <f aca="false">$D$15*(L16/$D$16)^Assumptions!$C$39</f>
        <v>11.9224053781106</v>
      </c>
      <c r="M15" s="52" t="n">
        <f aca="false">$D$15*(M16/$D$16)^Assumptions!$C$39</f>
        <v>11.9224053781106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8</v>
      </c>
      <c r="E16" s="52" t="n">
        <f aca="false">MAX($D$16*Assumptions!$C$40,$D$16*Assumptions!$C$10^LOG(MAX(1,SUM($D17:E17)),Assumptions!$C$41))</f>
        <v>7.00962930148004</v>
      </c>
      <c r="F16" s="52" t="n">
        <f aca="false">MAX($D$16*Assumptions!$C$40,$D$16*Assumptions!$C$10^LOG(MAX(1,SUM($D17:F17)),Assumptions!$C$41))</f>
        <v>6.06451051331408</v>
      </c>
      <c r="G16" s="52" t="n">
        <f aca="false">MAX($D$16*Assumptions!$C$40,$D$16*Assumptions!$C$10^LOG(MAX(1,SUM($D17:G17)),Assumptions!$C$41))</f>
        <v>5.6</v>
      </c>
      <c r="H16" s="52" t="n">
        <f aca="false">MAX($D$16*Assumptions!$C$40,$D$16*Assumptions!$C$10^LOG(MAX(1,SUM($D17:H17)),Assumptions!$C$41))</f>
        <v>5.6</v>
      </c>
      <c r="I16" s="52" t="n">
        <f aca="false">MAX($D$16*Assumptions!$C$40,$D$16*Assumptions!$C$10^LOG(MAX(1,SUM($D17:I17)),Assumptions!$C$41))</f>
        <v>5.6</v>
      </c>
      <c r="J16" s="52" t="n">
        <f aca="false">MAX($D$16*Assumptions!$C$40,$D$16*Assumptions!$C$10^LOG(MAX(1,SUM($D17:J17)),Assumptions!$C$41))</f>
        <v>5.6</v>
      </c>
      <c r="K16" s="52" t="n">
        <f aca="false">MAX($D$16*Assumptions!$C$40,$D$16*Assumptions!$C$10^LOG(MAX(1,SUM($D17:K17)),Assumptions!$C$41))</f>
        <v>5.6</v>
      </c>
      <c r="L16" s="52" t="n">
        <f aca="false">MAX($D$16*Assumptions!$C$40,$D$16*Assumptions!$C$10^LOG(MAX(1,SUM($D17:L17)),Assumptions!$C$41))</f>
        <v>5.6</v>
      </c>
      <c r="M16" s="52" t="n">
        <f aca="false">MAX($D$16*Assumptions!$C$40,$D$16*Assumptions!$C$10^LOG(MAX(1,SUM($D17:M17)),Assumptions!$C$41))</f>
        <v>5.6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0</v>
      </c>
      <c r="E17" s="97" t="n">
        <v>3</v>
      </c>
      <c r="F17" s="97" t="n">
        <v>7</v>
      </c>
      <c r="G17" s="97" t="n">
        <v>14</v>
      </c>
      <c r="H17" s="97" t="n">
        <v>22</v>
      </c>
      <c r="I17" s="97" t="n">
        <v>30</v>
      </c>
      <c r="J17" s="97" t="n">
        <v>38</v>
      </c>
      <c r="K17" s="97" t="n">
        <v>46</v>
      </c>
      <c r="L17" s="97" t="n">
        <v>52</v>
      </c>
      <c r="M17" s="97" t="n">
        <v>56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0</v>
      </c>
      <c r="E18" s="23" t="n">
        <f aca="false">E15*E17</f>
        <v>40.0164585675165</v>
      </c>
      <c r="F18" s="23" t="n">
        <f aca="false">F15*F17</f>
        <v>86.849193029773</v>
      </c>
      <c r="G18" s="23" t="n">
        <f aca="false">G15*G17</f>
        <v>166.913675293548</v>
      </c>
      <c r="H18" s="23" t="n">
        <f aca="false">H15*H17</f>
        <v>262.292918318433</v>
      </c>
      <c r="I18" s="23" t="n">
        <f aca="false">I15*I17</f>
        <v>357.672161343317</v>
      </c>
      <c r="J18" s="23" t="n">
        <f aca="false">J15*J17</f>
        <v>453.051404368202</v>
      </c>
      <c r="K18" s="23" t="n">
        <f aca="false">K15*K17</f>
        <v>548.430647393087</v>
      </c>
      <c r="L18" s="23" t="n">
        <f aca="false">L15*L17</f>
        <v>619.96507966175</v>
      </c>
      <c r="M18" s="23" t="n">
        <f aca="false">M15*M17</f>
        <v>667.654701174192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</v>
      </c>
      <c r="E19" s="25" t="n">
        <f aca="false">E16*E17</f>
        <v>21.0288879044401</v>
      </c>
      <c r="F19" s="25" t="n">
        <f aca="false">F16*F17</f>
        <v>42.4515735931985</v>
      </c>
      <c r="G19" s="25" t="n">
        <f aca="false">G16*G17</f>
        <v>78.4</v>
      </c>
      <c r="H19" s="25" t="n">
        <f aca="false">H16*H17</f>
        <v>123.2</v>
      </c>
      <c r="I19" s="25" t="n">
        <f aca="false">I16*I17</f>
        <v>168</v>
      </c>
      <c r="J19" s="25" t="n">
        <f aca="false">J16*J17</f>
        <v>212.8</v>
      </c>
      <c r="K19" s="25" t="n">
        <f aca="false">K16*K17</f>
        <v>257.6</v>
      </c>
      <c r="L19" s="25" t="n">
        <f aca="false">L16*L17</f>
        <v>291.2</v>
      </c>
      <c r="M19" s="25" t="n">
        <f aca="false">M16*M17</f>
        <v>313.6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0.43859649122807</v>
      </c>
      <c r="E20" s="24" t="n">
        <f aca="false">IF(E15=0,0,1-E16/E15)</f>
        <v>0.474494029276484</v>
      </c>
      <c r="F20" s="24" t="n">
        <f aca="false">IF(F15=0,0,1-F16/F15)</f>
        <v>0.511203591970675</v>
      </c>
      <c r="G20" s="24" t="n">
        <f aca="false">IF(G15=0,0,1-G16/G15)</f>
        <v>0.530296125454554</v>
      </c>
      <c r="H20" s="24" t="n">
        <f aca="false">IF(H15=0,0,1-H16/H15)</f>
        <v>0.530296125454554</v>
      </c>
      <c r="I20" s="24" t="n">
        <f aca="false">IF(I15=0,0,1-I16/I15)</f>
        <v>0.530296125454554</v>
      </c>
      <c r="J20" s="24" t="n">
        <f aca="false">IF(J15=0,0,1-J16/J15)</f>
        <v>0.530296125454554</v>
      </c>
      <c r="K20" s="24" t="n">
        <f aca="false">IF(K15=0,0,1-K16/K15)</f>
        <v>0.530296125454554</v>
      </c>
      <c r="L20" s="24" t="n">
        <f aca="false">IF(L15=0,0,1-L16/L15)</f>
        <v>0.530296125454554</v>
      </c>
      <c r="M20" s="24" t="n">
        <f aca="false">IF(M15=0,0,1-M16/M15)</f>
        <v>0.530296125454554</v>
      </c>
    </row>
    <row r="22" customFormat="false" ht="15" hidden="false" customHeight="true" outlineLevel="0" collapsed="false">
      <c r="B22" s="102" t="s">
        <v>500</v>
      </c>
      <c r="C22" s="102"/>
      <c r="D22" s="102"/>
      <c r="E22" s="102"/>
      <c r="F22" s="102"/>
      <c r="G22" s="102"/>
      <c r="H22" s="102"/>
      <c r="I22" s="102"/>
      <c r="J22" s="102"/>
      <c r="K22" s="102"/>
      <c r="L22" s="102"/>
      <c r="M22" s="102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65</v>
      </c>
      <c r="E23" s="52" t="n">
        <f aca="false">$D$23*(E24/$D$24)^Assumptions!$C$39</f>
        <v>65</v>
      </c>
      <c r="F23" s="52" t="n">
        <f aca="false">$D$23*(F24/$D$24)^Assumptions!$C$39</f>
        <v>65</v>
      </c>
      <c r="G23" s="52" t="n">
        <f aca="false">$D$23*(G24/$D$24)^Assumptions!$C$39</f>
        <v>60.8437381728321</v>
      </c>
      <c r="H23" s="52" t="n">
        <f aca="false">$D$23*(H24/$D$24)^Assumptions!$C$39</f>
        <v>58.3592635050907</v>
      </c>
      <c r="I23" s="52" t="n">
        <f aca="false">$D$23*(I24/$D$24)^Assumptions!$C$39</f>
        <v>56.5934591171453</v>
      </c>
      <c r="J23" s="52" t="n">
        <f aca="false">$D$23*(J24/$D$24)^Assumptions!$C$39</f>
        <v>55.2299764762887</v>
      </c>
      <c r="K23" s="52" t="n">
        <f aca="false">$D$23*(K24/$D$24)^Assumptions!$C$39</f>
        <v>54.3829017247149</v>
      </c>
      <c r="L23" s="52" t="n">
        <f aca="false">$D$23*(L24/$D$24)^Assumptions!$C$39</f>
        <v>54.3829017247149</v>
      </c>
      <c r="M23" s="52" t="n">
        <f aca="false">$D$23*(M24/$D$24)^Assumptions!$C$39</f>
        <v>54.3829017247149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27.075</v>
      </c>
      <c r="E24" s="52" t="n">
        <f aca="false">MAX($D$24*Assumptions!$C$40,$D$24*Assumptions!$C$10^LOG(MAX(1,SUM($D25:E25)),Assumptions!$C$41))</f>
        <v>27.075</v>
      </c>
      <c r="F24" s="52" t="n">
        <f aca="false">MAX($D$24*Assumptions!$C$40,$D$24*Assumptions!$C$10^LOG(MAX(1,SUM($D25:F25)),Assumptions!$C$41))</f>
        <v>27.075</v>
      </c>
      <c r="G24" s="52" t="n">
        <f aca="false">MAX($D$24*Assumptions!$C$40,$D$24*Assumptions!$C$10^LOG(MAX(1,SUM($D25:G25)),Assumptions!$C$41))</f>
        <v>23.7232141671965</v>
      </c>
      <c r="H24" s="52" t="n">
        <f aca="false">MAX($D$24*Assumptions!$C$40,$D$24*Assumptions!$C$10^LOG(MAX(1,SUM($D25:H25)),Assumptions!$C$41))</f>
        <v>21.8253570338208</v>
      </c>
      <c r="I24" s="52" t="n">
        <f aca="false">MAX($D$24*Assumptions!$C$40,$D$24*Assumptions!$C$10^LOG(MAX(1,SUM($D25:I25)),Assumptions!$C$41))</f>
        <v>20.5245777684973</v>
      </c>
      <c r="J24" s="52" t="n">
        <f aca="false">MAX($D$24*Assumptions!$C$40,$D$24*Assumptions!$C$10^LOG(MAX(1,SUM($D25:J25)),Assumptions!$C$41))</f>
        <v>19.5475111041528</v>
      </c>
      <c r="K24" s="52" t="n">
        <f aca="false">MAX($D$24*Assumptions!$C$40,$D$24*Assumptions!$C$10^LOG(MAX(1,SUM($D25:K25)),Assumptions!$C$41))</f>
        <v>18.9525</v>
      </c>
      <c r="L24" s="52" t="n">
        <f aca="false">MAX($D$24*Assumptions!$C$40,$D$24*Assumptions!$C$10^LOG(MAX(1,SUM($D25:L25)),Assumptions!$C$41))</f>
        <v>18.9525</v>
      </c>
      <c r="M24" s="52" t="n">
        <f aca="false">MAX($D$24*Assumptions!$C$40,$D$24*Assumptions!$C$10^LOG(MAX(1,SUM($D25:M25)),Assumptions!$C$41))</f>
        <v>18.9525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0</v>
      </c>
      <c r="E25" s="97" t="n">
        <v>0</v>
      </c>
      <c r="F25" s="97" t="n">
        <v>1</v>
      </c>
      <c r="G25" s="97" t="n">
        <v>2</v>
      </c>
      <c r="H25" s="97" t="n">
        <v>3</v>
      </c>
      <c r="I25" s="97" t="n">
        <v>4</v>
      </c>
      <c r="J25" s="97" t="n">
        <v>5</v>
      </c>
      <c r="K25" s="97" t="n">
        <v>6</v>
      </c>
      <c r="L25" s="97" t="n">
        <v>6</v>
      </c>
      <c r="M25" s="97" t="n">
        <v>7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0</v>
      </c>
      <c r="E26" s="23" t="n">
        <f aca="false">E23*E25</f>
        <v>0</v>
      </c>
      <c r="F26" s="23" t="n">
        <f aca="false">F23*F25</f>
        <v>65</v>
      </c>
      <c r="G26" s="23" t="n">
        <f aca="false">G23*G25</f>
        <v>121.687476345664</v>
      </c>
      <c r="H26" s="23" t="n">
        <f aca="false">H23*H25</f>
        <v>175.077790515272</v>
      </c>
      <c r="I26" s="23" t="n">
        <f aca="false">I23*I25</f>
        <v>226.373836468581</v>
      </c>
      <c r="J26" s="23" t="n">
        <f aca="false">J23*J25</f>
        <v>276.149882381443</v>
      </c>
      <c r="K26" s="23" t="n">
        <f aca="false">K23*K25</f>
        <v>326.29741034829</v>
      </c>
      <c r="L26" s="23" t="n">
        <f aca="false">L23*L25</f>
        <v>326.29741034829</v>
      </c>
      <c r="M26" s="23" t="n">
        <f aca="false">M23*M25</f>
        <v>380.680312073004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</v>
      </c>
      <c r="E27" s="25" t="n">
        <f aca="false">E24*E25</f>
        <v>0</v>
      </c>
      <c r="F27" s="25" t="n">
        <f aca="false">F24*F25</f>
        <v>27.075</v>
      </c>
      <c r="G27" s="25" t="n">
        <f aca="false">G24*G25</f>
        <v>47.446428334393</v>
      </c>
      <c r="H27" s="25" t="n">
        <f aca="false">H24*H25</f>
        <v>65.4760711014624</v>
      </c>
      <c r="I27" s="25" t="n">
        <f aca="false">I24*I25</f>
        <v>82.0983110739893</v>
      </c>
      <c r="J27" s="25" t="n">
        <f aca="false">J24*J25</f>
        <v>97.7375555207641</v>
      </c>
      <c r="K27" s="25" t="n">
        <f aca="false">K24*K25</f>
        <v>113.715</v>
      </c>
      <c r="L27" s="25" t="n">
        <f aca="false">L24*L25</f>
        <v>113.715</v>
      </c>
      <c r="M27" s="25" t="n">
        <f aca="false">M24*M25</f>
        <v>132.6675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0.583461538461539</v>
      </c>
      <c r="E28" s="24" t="n">
        <f aca="false">IF(E23=0,0,1-E24/E23)</f>
        <v>0.583461538461539</v>
      </c>
      <c r="F28" s="24" t="n">
        <f aca="false">IF(F23=0,0,1-F24/F23)</f>
        <v>0.583461538461539</v>
      </c>
      <c r="G28" s="24" t="n">
        <f aca="false">IF(G23=0,0,1-G24/G23)</f>
        <v>0.610096044726762</v>
      </c>
      <c r="H28" s="24" t="n">
        <f aca="false">IF(H23=0,0,1-H24/H23)</f>
        <v>0.626017264047259</v>
      </c>
      <c r="I28" s="24" t="n">
        <f aca="false">IF(I23=0,0,1-I24/I23)</f>
        <v>0.637333040095454</v>
      </c>
      <c r="J28" s="24" t="n">
        <f aca="false">IF(J23=0,0,1-J24/J23)</f>
        <v>0.646070624119405</v>
      </c>
      <c r="K28" s="24" t="n">
        <f aca="false">IF(K23=0,0,1-K24/K23)</f>
        <v>0.651498919716768</v>
      </c>
      <c r="L28" s="24" t="n">
        <f aca="false">IF(L23=0,0,1-L24/L23)</f>
        <v>0.651498919716768</v>
      </c>
      <c r="M28" s="24" t="n">
        <f aca="false">IF(M23=0,0,1-M24/M23)</f>
        <v>0.651498919716768</v>
      </c>
    </row>
    <row r="30" customFormat="false" ht="21.75" hidden="false" customHeight="true" outlineLevel="0" collapsed="false">
      <c r="B30" s="6" t="s">
        <v>501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0</v>
      </c>
      <c r="E31" s="55" t="n">
        <f aca="false">E10+E18+E26</f>
        <v>53.07648759455</v>
      </c>
      <c r="F31" s="55" t="n">
        <f aca="false">F10+F18+F26</f>
        <v>202.048794621818</v>
      </c>
      <c r="G31" s="55" t="n">
        <f aca="false">G10+G18+G26</f>
        <v>389.000354823301</v>
      </c>
      <c r="H31" s="55" t="n">
        <f aca="false">H10+H18+H26</f>
        <v>600.51941400785</v>
      </c>
      <c r="I31" s="55" t="n">
        <f aca="false">I10+I18+I26</f>
        <v>809.944204976099</v>
      </c>
      <c r="J31" s="55" t="n">
        <f aca="false">J10+J18+J26</f>
        <v>1005.29909550589</v>
      </c>
      <c r="K31" s="55" t="n">
        <f aca="false">K10+K18+K26</f>
        <v>1201.02546808967</v>
      </c>
      <c r="L31" s="55" t="n">
        <f aca="false">L10+L18+L26</f>
        <v>1310.20960155236</v>
      </c>
      <c r="M31" s="55" t="n">
        <f aca="false">M10+M18+M26</f>
        <v>1449.93182598355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0</v>
      </c>
      <c r="E32" s="55" t="n">
        <f aca="false">E11+E19+E27</f>
        <v>27.8514622319185</v>
      </c>
      <c r="F32" s="55" t="n">
        <f aca="false">F11+F19+F27</f>
        <v>94.7265735931985</v>
      </c>
      <c r="G32" s="55" t="n">
        <f aca="false">G11+G19+G27</f>
        <v>176.246428334393</v>
      </c>
      <c r="H32" s="55" t="n">
        <f aca="false">H11+H19+H27</f>
        <v>270.576071101462</v>
      </c>
      <c r="I32" s="55" t="n">
        <f aca="false">I11+I19+I27</f>
        <v>363.498311073989</v>
      </c>
      <c r="J32" s="55" t="n">
        <f aca="false">J11+J19+J27</f>
        <v>449.137555520764</v>
      </c>
      <c r="K32" s="55" t="n">
        <f aca="false">K11+K19+K27</f>
        <v>535.115</v>
      </c>
      <c r="L32" s="55" t="n">
        <f aca="false">L11+L19+L27</f>
        <v>587.615</v>
      </c>
      <c r="M32" s="55" t="n">
        <f aca="false">M11+M19+M27</f>
        <v>647.8675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0</v>
      </c>
      <c r="E33" s="100" t="n">
        <f aca="false">E9+E17+E25</f>
        <v>13</v>
      </c>
      <c r="F33" s="100" t="n">
        <f aca="false">F9+F17+F25</f>
        <v>48</v>
      </c>
      <c r="G33" s="100" t="n">
        <f aca="false">G9+G17+G25</f>
        <v>96</v>
      </c>
      <c r="H33" s="100" t="n">
        <f aca="false">H9+H17+H25</f>
        <v>155</v>
      </c>
      <c r="I33" s="100" t="n">
        <f aca="false">I9+I17+I25</f>
        <v>214</v>
      </c>
      <c r="J33" s="100" t="n">
        <f aca="false">J9+J17+J25</f>
        <v>263</v>
      </c>
      <c r="K33" s="100" t="n">
        <f aca="false">K9+K17+K25</f>
        <v>312</v>
      </c>
      <c r="L33" s="100" t="n">
        <f aca="false">L9+L17+L25</f>
        <v>348</v>
      </c>
      <c r="M33" s="100" t="n">
        <f aca="false">M9+M17+M25</f>
        <v>383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0</v>
      </c>
      <c r="E34" s="55" t="n">
        <f aca="false">E31-E32</f>
        <v>25.2250253626316</v>
      </c>
      <c r="F34" s="55" t="n">
        <f aca="false">F31-F32</f>
        <v>107.322221028619</v>
      </c>
      <c r="G34" s="55" t="n">
        <f aca="false">G31-G32</f>
        <v>212.753926488908</v>
      </c>
      <c r="H34" s="55" t="n">
        <f aca="false">H31-H32</f>
        <v>329.943342906387</v>
      </c>
      <c r="I34" s="55" t="n">
        <f aca="false">I31-I32</f>
        <v>446.44589390211</v>
      </c>
      <c r="J34" s="55" t="n">
        <f aca="false">J31-J32</f>
        <v>556.161539985126</v>
      </c>
      <c r="K34" s="55" t="n">
        <f aca="false">K31-K32</f>
        <v>665.910468089666</v>
      </c>
      <c r="L34" s="55" t="n">
        <f aca="false">L31-L32</f>
        <v>722.594601552362</v>
      </c>
      <c r="M34" s="55" t="n">
        <f aca="false">M31-M32</f>
        <v>802.064325983553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</v>
      </c>
      <c r="E35" s="101" t="n">
        <f aca="false">IFERROR((E31-E32)/E31,0)</f>
        <v>0.475258000403586</v>
      </c>
      <c r="F35" s="101" t="n">
        <f aca="false">IFERROR((F31-F32)/F31,0)</f>
        <v>0.531169815833339</v>
      </c>
      <c r="G35" s="101" t="n">
        <f aca="false">IFERROR((G31-G32)/G31,0)</f>
        <v>0.546924762023801</v>
      </c>
      <c r="H35" s="101" t="n">
        <f aca="false">IFERROR((H31-H32)/H31,0)</f>
        <v>0.549429935502592</v>
      </c>
      <c r="I35" s="101" t="n">
        <f aca="false">IFERROR((I31-I32)/I31,0)</f>
        <v>0.551205738814174</v>
      </c>
      <c r="J35" s="101" t="n">
        <f aca="false">IFERROR((J31-J32)/J31,0)</f>
        <v>0.55322992179283</v>
      </c>
      <c r="K35" s="101" t="n">
        <f aca="false">IFERROR((K31-K32)/K31,0)</f>
        <v>0.554451579739482</v>
      </c>
      <c r="L35" s="101" t="n">
        <f aca="false">IFERROR((L31-L32)/L31,0)</f>
        <v>0.551510690118755</v>
      </c>
      <c r="M35" s="101" t="n">
        <f aca="false">IFERROR((M31-M32)/M31,0)</f>
        <v>0.553173819354905</v>
      </c>
    </row>
    <row r="36" customFormat="false" ht="15" hidden="false" customHeight="true" outlineLevel="0" collapsed="false">
      <c r="B36" s="54" t="s">
        <v>488</v>
      </c>
      <c r="D36" s="25" t="n">
        <f aca="false">D31</f>
        <v>0</v>
      </c>
      <c r="E36" s="25" t="n">
        <f aca="false">D36+E31</f>
        <v>53.07648759455</v>
      </c>
      <c r="F36" s="25" t="n">
        <f aca="false">E36+F31</f>
        <v>255.125282216368</v>
      </c>
      <c r="G36" s="25" t="n">
        <f aca="false">F36+G31</f>
        <v>644.125637039669</v>
      </c>
      <c r="H36" s="25" t="n">
        <f aca="false">G36+H31</f>
        <v>1244.64505104752</v>
      </c>
      <c r="I36" s="25" t="n">
        <f aca="false">H36+I31</f>
        <v>2054.58925602362</v>
      </c>
      <c r="J36" s="25" t="n">
        <f aca="false">I36+J31</f>
        <v>3059.88835152951</v>
      </c>
      <c r="K36" s="25" t="n">
        <f aca="false">J36+K31</f>
        <v>4260.91381961917</v>
      </c>
      <c r="L36" s="25" t="n">
        <f aca="false">K36+L31</f>
        <v>5571.12342117154</v>
      </c>
      <c r="M36" s="25" t="n">
        <f aca="false">L36+M31</f>
        <v>7021.05524715509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G39" activeCellId="0" sqref="G3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502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503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95" t="s">
        <v>504</v>
      </c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150</v>
      </c>
      <c r="E7" s="52" t="n">
        <f aca="false">$D$7*(E8/$D$8)^Assumptions!$C$39</f>
        <v>150</v>
      </c>
      <c r="F7" s="52" t="n">
        <f aca="false">$D$7*(F8/$D$8)^Assumptions!$C$39</f>
        <v>150</v>
      </c>
      <c r="G7" s="52" t="n">
        <f aca="false">$D$7*(G8/$D$8)^Assumptions!$C$39</f>
        <v>150</v>
      </c>
      <c r="H7" s="52" t="n">
        <f aca="false">$D$7*(H8/$D$8)^Assumptions!$C$39</f>
        <v>140.408626552689</v>
      </c>
      <c r="I7" s="52" t="n">
        <f aca="false">$D$7*(I8/$D$8)^Assumptions!$C$39</f>
        <v>134.675223473286</v>
      </c>
      <c r="J7" s="52" t="n">
        <f aca="false">$D$7*(J8/$D$8)^Assumptions!$C$39</f>
        <v>130.600290270335</v>
      </c>
      <c r="K7" s="52" t="n">
        <f aca="false">$D$7*(K8/$D$8)^Assumptions!$C$39</f>
        <v>127.453791868358</v>
      </c>
      <c r="L7" s="52" t="n">
        <f aca="false">$D$7*(L8/$D$8)^Assumptions!$C$39</f>
        <v>125.499003980111</v>
      </c>
      <c r="M7" s="52" t="n">
        <f aca="false">$D$7*(M8/$D$8)^Assumptions!$C$39</f>
        <v>125.499003980111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51.3</v>
      </c>
      <c r="E8" s="52" t="n">
        <f aca="false">MAX($D$8*Assumptions!$C$40,$D$8*Assumptions!$C$10^LOG(MAX(1,SUM($D9:E9)),Assumptions!$C$41))</f>
        <v>51.3</v>
      </c>
      <c r="F8" s="52" t="n">
        <f aca="false">MAX($D$8*Assumptions!$C$40,$D$8*Assumptions!$C$10^LOG(MAX(1,SUM($D9:F9)),Assumptions!$C$41))</f>
        <v>51.3</v>
      </c>
      <c r="G8" s="52" t="n">
        <f aca="false">MAX($D$8*Assumptions!$C$40,$D$8*Assumptions!$C$10^LOG(MAX(1,SUM($D9:G9)),Assumptions!$C$41))</f>
        <v>51.3</v>
      </c>
      <c r="H8" s="52" t="n">
        <f aca="false">MAX($D$8*Assumptions!$C$40,$D$8*Assumptions!$C$10^LOG(MAX(1,SUM($D9:H9)),Assumptions!$C$41))</f>
        <v>44.9492478957408</v>
      </c>
      <c r="I8" s="52" t="n">
        <f aca="false">MAX($D$8*Assumptions!$C$40,$D$8*Assumptions!$C$10^LOG(MAX(1,SUM($D9:I9)),Assumptions!$C$41))</f>
        <v>41.3533080640815</v>
      </c>
      <c r="J8" s="52" t="n">
        <f aca="false">MAX($D$8*Assumptions!$C$40,$D$8*Assumptions!$C$10^LOG(MAX(1,SUM($D9:J9)),Assumptions!$C$41))</f>
        <v>38.8886736666265</v>
      </c>
      <c r="K8" s="52" t="n">
        <f aca="false">MAX($D$8*Assumptions!$C$40,$D$8*Assumptions!$C$10^LOG(MAX(1,SUM($D9:K9)),Assumptions!$C$41))</f>
        <v>37.0373894605001</v>
      </c>
      <c r="L8" s="52" t="n">
        <f aca="false">MAX($D$8*Assumptions!$C$40,$D$8*Assumptions!$C$10^LOG(MAX(1,SUM($D9:L9)),Assumptions!$C$41))</f>
        <v>35.91</v>
      </c>
      <c r="M8" s="52" t="n">
        <f aca="false">MAX($D$8*Assumptions!$C$40,$D$8*Assumptions!$C$10^LOG(MAX(1,SUM($D9:M9)),Assumptions!$C$41))</f>
        <v>35.91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0</v>
      </c>
      <c r="E9" s="97" t="n">
        <v>0</v>
      </c>
      <c r="F9" s="97" t="n">
        <v>0</v>
      </c>
      <c r="G9" s="97" t="n">
        <v>1</v>
      </c>
      <c r="H9" s="97" t="n">
        <v>2</v>
      </c>
      <c r="I9" s="97" t="n">
        <v>3</v>
      </c>
      <c r="J9" s="97" t="n">
        <v>4</v>
      </c>
      <c r="K9" s="97" t="n">
        <v>5</v>
      </c>
      <c r="L9" s="97" t="n">
        <v>6</v>
      </c>
      <c r="M9" s="97" t="n">
        <v>7</v>
      </c>
    </row>
    <row r="10" customFormat="false" ht="15" hidden="false" customHeight="true" outlineLevel="0" collapsed="false">
      <c r="B10" s="98" t="s">
        <v>479</v>
      </c>
      <c r="D10" s="23" t="n">
        <f aca="false">D7*D9</f>
        <v>0</v>
      </c>
      <c r="E10" s="23" t="n">
        <f aca="false">E7*E9</f>
        <v>0</v>
      </c>
      <c r="F10" s="23" t="n">
        <f aca="false">F7*F9</f>
        <v>0</v>
      </c>
      <c r="G10" s="23" t="n">
        <f aca="false">G7*G9</f>
        <v>150</v>
      </c>
      <c r="H10" s="23" t="n">
        <f aca="false">H7*H9</f>
        <v>280.817253105379</v>
      </c>
      <c r="I10" s="23" t="n">
        <f aca="false">I7*I9</f>
        <v>404.025670419859</v>
      </c>
      <c r="J10" s="23" t="n">
        <f aca="false">J7*J9</f>
        <v>522.401161081341</v>
      </c>
      <c r="K10" s="23" t="n">
        <f aca="false">K7*K9</f>
        <v>637.268959341792</v>
      </c>
      <c r="L10" s="23" t="n">
        <f aca="false">L7*L9</f>
        <v>752.994023880668</v>
      </c>
      <c r="M10" s="23" t="n">
        <f aca="false">M7*M9</f>
        <v>878.493027860779</v>
      </c>
    </row>
    <row r="11" customFormat="false" ht="15" hidden="false" customHeight="true" outlineLevel="0" collapsed="false">
      <c r="B11" s="96" t="s">
        <v>480</v>
      </c>
      <c r="D11" s="25" t="n">
        <f aca="false">D8*D9</f>
        <v>0</v>
      </c>
      <c r="E11" s="25" t="n">
        <f aca="false">E8*E9</f>
        <v>0</v>
      </c>
      <c r="F11" s="25" t="n">
        <f aca="false">F8*F9</f>
        <v>0</v>
      </c>
      <c r="G11" s="25" t="n">
        <f aca="false">G8*G9</f>
        <v>51.3</v>
      </c>
      <c r="H11" s="25" t="n">
        <f aca="false">H8*H9</f>
        <v>89.8984957914815</v>
      </c>
      <c r="I11" s="25" t="n">
        <f aca="false">I8*I9</f>
        <v>124.059924192245</v>
      </c>
      <c r="J11" s="25" t="n">
        <f aca="false">J8*J9</f>
        <v>155.554694666506</v>
      </c>
      <c r="K11" s="25" t="n">
        <f aca="false">K8*K9</f>
        <v>185.1869473025</v>
      </c>
      <c r="L11" s="25" t="n">
        <f aca="false">L8*L9</f>
        <v>215.46</v>
      </c>
      <c r="M11" s="25" t="n">
        <f aca="false">M8*M9</f>
        <v>251.37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0.658</v>
      </c>
      <c r="E12" s="24" t="n">
        <f aca="false">IF(E7=0,0,1-E8/E7)</f>
        <v>0.658</v>
      </c>
      <c r="F12" s="24" t="n">
        <f aca="false">IF(F7=0,0,1-F8/F7)</f>
        <v>0.658</v>
      </c>
      <c r="G12" s="24" t="n">
        <f aca="false">IF(G7=0,0,1-G8/G7)</f>
        <v>0.658</v>
      </c>
      <c r="H12" s="24" t="n">
        <f aca="false">IF(H7=0,0,1-H8/H7)</f>
        <v>0.679868331459868</v>
      </c>
      <c r="I12" s="24" t="n">
        <f aca="false">IF(I7=0,0,1-I8/I7)</f>
        <v>0.692940490480907</v>
      </c>
      <c r="J12" s="24" t="n">
        <f aca="false">IF(J7=0,0,1-J8/J7)</f>
        <v>0.702231338183636</v>
      </c>
      <c r="K12" s="24" t="n">
        <f aca="false">IF(K7=0,0,1-K8/K7)</f>
        <v>0.709405354540143</v>
      </c>
      <c r="L12" s="24" t="n">
        <f aca="false">IF(L7=0,0,1-L8/L7)</f>
        <v>0.713862270925346</v>
      </c>
      <c r="M12" s="24" t="n">
        <f aca="false">IF(M7=0,0,1-M8/M7)</f>
        <v>0.713862270925346</v>
      </c>
    </row>
    <row r="14" customFormat="false" ht="15" hidden="false" customHeight="true" outlineLevel="0" collapsed="false">
      <c r="B14" s="95" t="s">
        <v>505</v>
      </c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210</v>
      </c>
      <c r="E15" s="52" t="n">
        <f aca="false">$D$15*(E16/$D$16)^Assumptions!$C$39</f>
        <v>210</v>
      </c>
      <c r="F15" s="52" t="n">
        <f aca="false">$D$15*(F16/$D$16)^Assumptions!$C$39</f>
        <v>210</v>
      </c>
      <c r="G15" s="52" t="n">
        <f aca="false">$D$15*(G16/$D$16)^Assumptions!$C$39</f>
        <v>210</v>
      </c>
      <c r="H15" s="52" t="n">
        <f aca="false">$D$15*(H16/$D$16)^Assumptions!$C$39</f>
        <v>210</v>
      </c>
      <c r="I15" s="52" t="n">
        <f aca="false">$D$15*(I16/$D$16)^Assumptions!$C$39</f>
        <v>201.424923979134</v>
      </c>
      <c r="J15" s="52" t="n">
        <f aca="false">$D$15*(J16/$D$16)^Assumptions!$C$39</f>
        <v>193.2</v>
      </c>
      <c r="K15" s="52" t="n">
        <f aca="false">$D$15*(K16/$D$16)^Assumptions!$C$39</f>
        <v>188.545312862601</v>
      </c>
      <c r="L15" s="52" t="n">
        <f aca="false">$D$15*(L16/$D$16)^Assumptions!$C$39</f>
        <v>184.002769163851</v>
      </c>
      <c r="M15" s="52" t="n">
        <f aca="false">$D$15*(M16/$D$16)^Assumptions!$C$39</f>
        <v>180.846310999864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75.05</v>
      </c>
      <c r="E16" s="52" t="n">
        <f aca="false">MAX($D$16*Assumptions!$C$40,$D$16*Assumptions!$C$10^LOG(MAX(1,SUM($D17:E17)),Assumptions!$C$41))</f>
        <v>75.05</v>
      </c>
      <c r="F16" s="52" t="n">
        <f aca="false">MAX($D$16*Assumptions!$C$40,$D$16*Assumptions!$C$10^LOG(MAX(1,SUM($D17:F17)),Assumptions!$C$41))</f>
        <v>75.05</v>
      </c>
      <c r="G16" s="52" t="n">
        <f aca="false">MAX($D$16*Assumptions!$C$40,$D$16*Assumptions!$C$10^LOG(MAX(1,SUM($D17:G17)),Assumptions!$C$41))</f>
        <v>75.05</v>
      </c>
      <c r="H16" s="52" t="n">
        <f aca="false">MAX($D$16*Assumptions!$C$40,$D$16*Assumptions!$C$10^LOG(MAX(1,SUM($D17:H17)),Assumptions!$C$41))</f>
        <v>75.05</v>
      </c>
      <c r="I16" s="52" t="n">
        <f aca="false">MAX($D$16*Assumptions!$C$40,$D$16*Assumptions!$C$10^LOG(MAX(1,SUM($D17:I17)),Assumptions!$C$41))</f>
        <v>69.046</v>
      </c>
      <c r="J16" s="52" t="n">
        <f aca="false">MAX($D$16*Assumptions!$C$40,$D$16*Assumptions!$C$10^LOG(MAX(1,SUM($D17:J17)),Assumptions!$C$41))</f>
        <v>63.52232</v>
      </c>
      <c r="K16" s="52" t="n">
        <f aca="false">MAX($D$16*Assumptions!$C$40,$D$16*Assumptions!$C$10^LOG(MAX(1,SUM($D17:K17)),Assumptions!$C$41))</f>
        <v>60.4983580937489</v>
      </c>
      <c r="L16" s="52" t="n">
        <f aca="false">MAX($D$16*Assumptions!$C$40,$D$16*Assumptions!$C$10^LOG(MAX(1,SUM($D17:L17)),Assumptions!$C$41))</f>
        <v>57.6183510306215</v>
      </c>
      <c r="M16" s="52" t="n">
        <f aca="false">MAX($D$16*Assumptions!$C$40,$D$16*Assumptions!$C$10^LOG(MAX(1,SUM($D17:M17)),Assumptions!$C$41))</f>
        <v>55.658489446249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0</v>
      </c>
      <c r="E17" s="97" t="n">
        <v>0</v>
      </c>
      <c r="F17" s="97" t="n">
        <v>0</v>
      </c>
      <c r="G17" s="97" t="n">
        <v>0</v>
      </c>
      <c r="H17" s="97" t="n">
        <v>1</v>
      </c>
      <c r="I17" s="97" t="n">
        <v>1</v>
      </c>
      <c r="J17" s="97" t="n">
        <v>2</v>
      </c>
      <c r="K17" s="97" t="n">
        <v>2</v>
      </c>
      <c r="L17" s="97" t="n">
        <v>3</v>
      </c>
      <c r="M17" s="97" t="n">
        <v>3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0</v>
      </c>
      <c r="E18" s="23" t="n">
        <f aca="false">E15*E17</f>
        <v>0</v>
      </c>
      <c r="F18" s="23" t="n">
        <f aca="false">F15*F17</f>
        <v>0</v>
      </c>
      <c r="G18" s="23" t="n">
        <f aca="false">G15*G17</f>
        <v>0</v>
      </c>
      <c r="H18" s="23" t="n">
        <f aca="false">H15*H17</f>
        <v>210</v>
      </c>
      <c r="I18" s="23" t="n">
        <f aca="false">I15*I17</f>
        <v>201.424923979134</v>
      </c>
      <c r="J18" s="23" t="n">
        <f aca="false">J15*J17</f>
        <v>386.4</v>
      </c>
      <c r="K18" s="23" t="n">
        <f aca="false">K15*K17</f>
        <v>377.090625725202</v>
      </c>
      <c r="L18" s="23" t="n">
        <f aca="false">L15*L17</f>
        <v>552.008307491553</v>
      </c>
      <c r="M18" s="23" t="n">
        <f aca="false">M15*M17</f>
        <v>542.538932999592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</v>
      </c>
      <c r="E19" s="25" t="n">
        <f aca="false">E16*E17</f>
        <v>0</v>
      </c>
      <c r="F19" s="25" t="n">
        <f aca="false">F16*F17</f>
        <v>0</v>
      </c>
      <c r="G19" s="25" t="n">
        <f aca="false">G16*G17</f>
        <v>0</v>
      </c>
      <c r="H19" s="25" t="n">
        <f aca="false">H16*H17</f>
        <v>75.05</v>
      </c>
      <c r="I19" s="25" t="n">
        <f aca="false">I16*I17</f>
        <v>69.046</v>
      </c>
      <c r="J19" s="25" t="n">
        <f aca="false">J16*J17</f>
        <v>127.04464</v>
      </c>
      <c r="K19" s="25" t="n">
        <f aca="false">K16*K17</f>
        <v>120.996716187498</v>
      </c>
      <c r="L19" s="25" t="n">
        <f aca="false">L16*L17</f>
        <v>172.855053091864</v>
      </c>
      <c r="M19" s="25" t="n">
        <f aca="false">M16*M17</f>
        <v>166.975468338747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0.642619047619048</v>
      </c>
      <c r="E20" s="24" t="n">
        <f aca="false">IF(E15=0,0,1-E16/E15)</f>
        <v>0.642619047619048</v>
      </c>
      <c r="F20" s="24" t="n">
        <f aca="false">IF(F15=0,0,1-F16/F15)</f>
        <v>0.642619047619048</v>
      </c>
      <c r="G20" s="24" t="n">
        <f aca="false">IF(G15=0,0,1-G16/G15)</f>
        <v>0.642619047619048</v>
      </c>
      <c r="H20" s="24" t="n">
        <f aca="false">IF(H15=0,0,1-H16/H15)</f>
        <v>0.642619047619048</v>
      </c>
      <c r="I20" s="24" t="n">
        <f aca="false">IF(I15=0,0,1-I16/I15)</f>
        <v>0.657212232547981</v>
      </c>
      <c r="J20" s="24" t="n">
        <f aca="false">IF(J15=0,0,1-J16/J15)</f>
        <v>0.671209523809524</v>
      </c>
      <c r="K20" s="24" t="n">
        <f aca="false">IF(K15=0,0,1-K16/K15)</f>
        <v>0.679130935819996</v>
      </c>
      <c r="L20" s="24" t="n">
        <f aca="false">IF(L15=0,0,1-L16/L15)</f>
        <v>0.686861500549954</v>
      </c>
      <c r="M20" s="24" t="n">
        <f aca="false">IF(M15=0,0,1-M16/M15)</f>
        <v>0.692233205429937</v>
      </c>
    </row>
    <row r="22" customFormat="false" ht="15" hidden="false" customHeight="true" outlineLevel="0" collapsed="false">
      <c r="B22" s="95" t="s">
        <v>506</v>
      </c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200</v>
      </c>
      <c r="E23" s="52" t="n">
        <f aca="false">$D$23*(E24/$D$24)^Assumptions!$C$39</f>
        <v>200</v>
      </c>
      <c r="F23" s="52" t="n">
        <f aca="false">$D$23*(F24/$D$24)^Assumptions!$C$39</f>
        <v>200</v>
      </c>
      <c r="G23" s="52" t="n">
        <f aca="false">$D$23*(G24/$D$24)^Assumptions!$C$39</f>
        <v>200</v>
      </c>
      <c r="H23" s="52" t="n">
        <f aca="false">$D$23*(H24/$D$24)^Assumptions!$C$39</f>
        <v>191.833260932509</v>
      </c>
      <c r="I23" s="52" t="n">
        <f aca="false">$D$23*(I24/$D$24)^Assumptions!$C$39</f>
        <v>184</v>
      </c>
      <c r="J23" s="52" t="n">
        <f aca="false">$D$23*(J24/$D$24)^Assumptions!$C$39</f>
        <v>179.566964631048</v>
      </c>
      <c r="K23" s="52" t="n">
        <f aca="false">$D$23*(K24/$D$24)^Assumptions!$C$39</f>
        <v>175.240732537001</v>
      </c>
      <c r="L23" s="52" t="n">
        <f aca="false">$D$23*(L24/$D$24)^Assumptions!$C$39</f>
        <v>172.234581904632</v>
      </c>
      <c r="M23" s="52" t="n">
        <f aca="false">$D$23*(M24/$D$24)^Assumptions!$C$39</f>
        <v>169.28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64.6</v>
      </c>
      <c r="E24" s="52" t="n">
        <f aca="false">MAX($D$24*Assumptions!$C$40,$D$24*Assumptions!$C$10^LOG(MAX(1,SUM($D25:E25)),Assumptions!$C$41))</f>
        <v>64.6</v>
      </c>
      <c r="F24" s="52" t="n">
        <f aca="false">MAX($D$24*Assumptions!$C$40,$D$24*Assumptions!$C$10^LOG(MAX(1,SUM($D25:F25)),Assumptions!$C$41))</f>
        <v>64.6</v>
      </c>
      <c r="G24" s="52" t="n">
        <f aca="false">MAX($D$24*Assumptions!$C$40,$D$24*Assumptions!$C$10^LOG(MAX(1,SUM($D25:G25)),Assumptions!$C$41))</f>
        <v>64.6</v>
      </c>
      <c r="H24" s="52" t="n">
        <f aca="false">MAX($D$24*Assumptions!$C$40,$D$24*Assumptions!$C$10^LOG(MAX(1,SUM($D25:H25)),Assumptions!$C$41))</f>
        <v>59.432</v>
      </c>
      <c r="I24" s="52" t="n">
        <f aca="false">MAX($D$24*Assumptions!$C$40,$D$24*Assumptions!$C$10^LOG(MAX(1,SUM($D25:I25)),Assumptions!$C$41))</f>
        <v>54.67744</v>
      </c>
      <c r="J24" s="52" t="n">
        <f aca="false">MAX($D$24*Assumptions!$C$40,$D$24*Assumptions!$C$10^LOG(MAX(1,SUM($D25:J25)),Assumptions!$C$41))</f>
        <v>52.0745360806952</v>
      </c>
      <c r="K24" s="52" t="n">
        <f aca="false">MAX($D$24*Assumptions!$C$40,$D$24*Assumptions!$C$10^LOG(MAX(1,SUM($D25:K25)),Assumptions!$C$41))</f>
        <v>49.5955426592691</v>
      </c>
      <c r="L24" s="52" t="n">
        <f aca="false">MAX($D$24*Assumptions!$C$40,$D$24*Assumptions!$C$10^LOG(MAX(1,SUM($D25:L25)),Assumptions!$C$41))</f>
        <v>47.9085731942396</v>
      </c>
      <c r="M24" s="52" t="n">
        <f aca="false">MAX($D$24*Assumptions!$C$40,$D$24*Assumptions!$C$10^LOG(MAX(1,SUM($D25:M25)),Assumptions!$C$41))</f>
        <v>46.278985216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0</v>
      </c>
      <c r="E25" s="97" t="n">
        <v>0</v>
      </c>
      <c r="F25" s="97" t="n">
        <v>0</v>
      </c>
      <c r="G25" s="97" t="n">
        <v>1</v>
      </c>
      <c r="H25" s="97" t="n">
        <v>1</v>
      </c>
      <c r="I25" s="97" t="n">
        <v>2</v>
      </c>
      <c r="J25" s="97" t="n">
        <v>2</v>
      </c>
      <c r="K25" s="97" t="n">
        <v>3</v>
      </c>
      <c r="L25" s="97" t="n">
        <v>3</v>
      </c>
      <c r="M25" s="97" t="n">
        <v>4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0</v>
      </c>
      <c r="E26" s="23" t="n">
        <f aca="false">E23*E25</f>
        <v>0</v>
      </c>
      <c r="F26" s="23" t="n">
        <f aca="false">F23*F25</f>
        <v>0</v>
      </c>
      <c r="G26" s="23" t="n">
        <f aca="false">G23*G25</f>
        <v>200</v>
      </c>
      <c r="H26" s="23" t="n">
        <f aca="false">H23*H25</f>
        <v>191.833260932509</v>
      </c>
      <c r="I26" s="23" t="n">
        <f aca="false">I23*I25</f>
        <v>368</v>
      </c>
      <c r="J26" s="23" t="n">
        <f aca="false">J23*J25</f>
        <v>359.133929262097</v>
      </c>
      <c r="K26" s="23" t="n">
        <f aca="false">K23*K25</f>
        <v>525.722197611003</v>
      </c>
      <c r="L26" s="23" t="n">
        <f aca="false">L23*L25</f>
        <v>516.703745713897</v>
      </c>
      <c r="M26" s="23" t="n">
        <f aca="false">M23*M25</f>
        <v>677.12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</v>
      </c>
      <c r="E27" s="25" t="n">
        <f aca="false">E24*E25</f>
        <v>0</v>
      </c>
      <c r="F27" s="25" t="n">
        <f aca="false">F24*F25</f>
        <v>0</v>
      </c>
      <c r="G27" s="25" t="n">
        <f aca="false">G24*G25</f>
        <v>64.6</v>
      </c>
      <c r="H27" s="25" t="n">
        <f aca="false">H24*H25</f>
        <v>59.432</v>
      </c>
      <c r="I27" s="25" t="n">
        <f aca="false">I24*I25</f>
        <v>109.35488</v>
      </c>
      <c r="J27" s="25" t="n">
        <f aca="false">J24*J25</f>
        <v>104.14907216139</v>
      </c>
      <c r="K27" s="25" t="n">
        <f aca="false">K24*K25</f>
        <v>148.786627977807</v>
      </c>
      <c r="L27" s="25" t="n">
        <f aca="false">L24*L25</f>
        <v>143.725719582719</v>
      </c>
      <c r="M27" s="25" t="n">
        <f aca="false">M24*M25</f>
        <v>185.115940864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0.677</v>
      </c>
      <c r="E28" s="24" t="n">
        <f aca="false">IF(E23=0,0,1-E24/E23)</f>
        <v>0.677</v>
      </c>
      <c r="F28" s="24" t="n">
        <f aca="false">IF(F23=0,0,1-F24/F23)</f>
        <v>0.677</v>
      </c>
      <c r="G28" s="24" t="n">
        <f aca="false">IF(G23=0,0,1-G24/G23)</f>
        <v>0.677</v>
      </c>
      <c r="H28" s="24" t="n">
        <f aca="false">IF(H23=0,0,1-H24/H23)</f>
        <v>0.690189283593998</v>
      </c>
      <c r="I28" s="24" t="n">
        <f aca="false">IF(I23=0,0,1-I24/I23)</f>
        <v>0.70284</v>
      </c>
      <c r="J28" s="24" t="n">
        <f aca="false">IF(J23=0,0,1-J24/J23)</f>
        <v>0.709999352120857</v>
      </c>
      <c r="K28" s="24" t="n">
        <f aca="false">IF(K23=0,0,1-K24/K23)</f>
        <v>0.716986216952743</v>
      </c>
      <c r="L28" s="24" t="n">
        <f aca="false">IF(L23=0,0,1-L24/L23)</f>
        <v>0.721841150224019</v>
      </c>
      <c r="M28" s="24" t="n">
        <f aca="false">IF(M23=0,0,1-M24/M23)</f>
        <v>0.7266128</v>
      </c>
    </row>
    <row r="30" customFormat="false" ht="21.75" hidden="false" customHeight="true" outlineLevel="0" collapsed="false">
      <c r="B30" s="6" t="s">
        <v>507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0</v>
      </c>
      <c r="E31" s="55" t="n">
        <f aca="false">E10+E18+E26</f>
        <v>0</v>
      </c>
      <c r="F31" s="55" t="n">
        <f aca="false">F10+F18+F26</f>
        <v>0</v>
      </c>
      <c r="G31" s="55" t="n">
        <f aca="false">G10+G18+G26</f>
        <v>350</v>
      </c>
      <c r="H31" s="55" t="n">
        <f aca="false">H10+H18+H26</f>
        <v>682.650514037888</v>
      </c>
      <c r="I31" s="55" t="n">
        <f aca="false">I10+I18+I26</f>
        <v>973.450594398993</v>
      </c>
      <c r="J31" s="55" t="n">
        <f aca="false">J10+J18+J26</f>
        <v>1267.93509034344</v>
      </c>
      <c r="K31" s="55" t="n">
        <f aca="false">K10+K18+K26</f>
        <v>1540.081782678</v>
      </c>
      <c r="L31" s="55" t="n">
        <f aca="false">L10+L18+L26</f>
        <v>1821.70607708612</v>
      </c>
      <c r="M31" s="55" t="n">
        <f aca="false">M10+M18+M26</f>
        <v>2098.15196086037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0</v>
      </c>
      <c r="E32" s="55" t="n">
        <f aca="false">E11+E19+E27</f>
        <v>0</v>
      </c>
      <c r="F32" s="55" t="n">
        <f aca="false">F11+F19+F27</f>
        <v>0</v>
      </c>
      <c r="G32" s="55" t="n">
        <f aca="false">G11+G19+G27</f>
        <v>115.9</v>
      </c>
      <c r="H32" s="55" t="n">
        <f aca="false">H11+H19+H27</f>
        <v>224.380495791481</v>
      </c>
      <c r="I32" s="55" t="n">
        <f aca="false">I11+I19+I27</f>
        <v>302.460804192245</v>
      </c>
      <c r="J32" s="55" t="n">
        <f aca="false">J11+J19+J27</f>
        <v>386.748406827897</v>
      </c>
      <c r="K32" s="55" t="n">
        <f aca="false">K11+K19+K27</f>
        <v>454.970291467805</v>
      </c>
      <c r="L32" s="55" t="n">
        <f aca="false">L11+L19+L27</f>
        <v>532.040772674583</v>
      </c>
      <c r="M32" s="55" t="n">
        <f aca="false">M11+M19+M27</f>
        <v>603.461409202747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0</v>
      </c>
      <c r="E33" s="100" t="n">
        <f aca="false">E9+E17+E25</f>
        <v>0</v>
      </c>
      <c r="F33" s="100" t="n">
        <f aca="false">F9+F17+F25</f>
        <v>0</v>
      </c>
      <c r="G33" s="100" t="n">
        <f aca="false">G9+G17+G25</f>
        <v>2</v>
      </c>
      <c r="H33" s="100" t="n">
        <f aca="false">H9+H17+H25</f>
        <v>4</v>
      </c>
      <c r="I33" s="100" t="n">
        <f aca="false">I9+I17+I25</f>
        <v>6</v>
      </c>
      <c r="J33" s="100" t="n">
        <f aca="false">J9+J17+J25</f>
        <v>8</v>
      </c>
      <c r="K33" s="100" t="n">
        <f aca="false">K9+K17+K25</f>
        <v>10</v>
      </c>
      <c r="L33" s="100" t="n">
        <f aca="false">L9+L17+L25</f>
        <v>12</v>
      </c>
      <c r="M33" s="100" t="n">
        <f aca="false">M9+M17+M25</f>
        <v>14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0</v>
      </c>
      <c r="E34" s="55" t="n">
        <f aca="false">E31-E32</f>
        <v>0</v>
      </c>
      <c r="F34" s="55" t="n">
        <f aca="false">F31-F32</f>
        <v>0</v>
      </c>
      <c r="G34" s="55" t="n">
        <f aca="false">G31-G32</f>
        <v>234.1</v>
      </c>
      <c r="H34" s="55" t="n">
        <f aca="false">H31-H32</f>
        <v>458.270018246406</v>
      </c>
      <c r="I34" s="55" t="n">
        <f aca="false">I31-I32</f>
        <v>670.989790206749</v>
      </c>
      <c r="J34" s="55" t="n">
        <f aca="false">J31-J32</f>
        <v>881.186683515542</v>
      </c>
      <c r="K34" s="55" t="n">
        <f aca="false">K31-K32</f>
        <v>1085.11149121019</v>
      </c>
      <c r="L34" s="55" t="n">
        <f aca="false">L31-L32</f>
        <v>1289.66530441154</v>
      </c>
      <c r="M34" s="55" t="n">
        <f aca="false">M31-M32</f>
        <v>1494.69055165762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</v>
      </c>
      <c r="E35" s="101" t="n">
        <f aca="false">IFERROR((E31-E32)/E31,0)</f>
        <v>0</v>
      </c>
      <c r="F35" s="101" t="n">
        <f aca="false">IFERROR((F31-F32)/F31,0)</f>
        <v>0</v>
      </c>
      <c r="G35" s="101" t="n">
        <f aca="false">IFERROR((G31-G32)/G31,0)</f>
        <v>0.668857142857143</v>
      </c>
      <c r="H35" s="101" t="n">
        <f aca="false">IFERROR((H31-H32)/H31,0)</f>
        <v>0.671309855955037</v>
      </c>
      <c r="I35" s="101" t="n">
        <f aca="false">IFERROR((I31-I32)/I31,0)</f>
        <v>0.689290030811494</v>
      </c>
      <c r="J35" s="101" t="n">
        <f aca="false">IFERROR((J31-J32)/J31,0)</f>
        <v>0.694977755743679</v>
      </c>
      <c r="K35" s="101" t="n">
        <f aca="false">IFERROR((K31-K32)/K31,0)</f>
        <v>0.704580434243776</v>
      </c>
      <c r="L35" s="101" t="n">
        <f aca="false">IFERROR((L31-L32)/L31,0)</f>
        <v>0.707943680176112</v>
      </c>
      <c r="M35" s="101" t="n">
        <f aca="false">IFERROR((M31-M32)/M31,0)</f>
        <v>0.712384317027595</v>
      </c>
    </row>
    <row r="36" customFormat="false" ht="15" hidden="false" customHeight="true" outlineLevel="0" collapsed="false">
      <c r="B36" s="54" t="s">
        <v>488</v>
      </c>
      <c r="D36" s="25" t="n">
        <f aca="false">D31</f>
        <v>0</v>
      </c>
      <c r="E36" s="25" t="n">
        <f aca="false">D36+E31</f>
        <v>0</v>
      </c>
      <c r="F36" s="25" t="n">
        <f aca="false">E36+F31</f>
        <v>0</v>
      </c>
      <c r="G36" s="25" t="n">
        <f aca="false">F36+G31</f>
        <v>350</v>
      </c>
      <c r="H36" s="25" t="n">
        <f aca="false">G36+H31</f>
        <v>1032.65051403789</v>
      </c>
      <c r="I36" s="25" t="n">
        <f aca="false">H36+I31</f>
        <v>2006.10110843688</v>
      </c>
      <c r="J36" s="25" t="n">
        <f aca="false">I36+J31</f>
        <v>3274.03619878032</v>
      </c>
      <c r="K36" s="25" t="n">
        <f aca="false">J36+K31</f>
        <v>4814.11798145832</v>
      </c>
      <c r="L36" s="25" t="n">
        <f aca="false">K36+L31</f>
        <v>6635.82405854444</v>
      </c>
      <c r="M36" s="25" t="n">
        <f aca="false">L36+M31</f>
        <v>8733.97601940481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D25" activeCellId="0" sqref="D2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508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509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103" t="s">
        <v>510</v>
      </c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15</v>
      </c>
      <c r="E7" s="52" t="n">
        <f aca="false">$D$7*(E8/$D$8)^Assumptions!$C$39</f>
        <v>15</v>
      </c>
      <c r="F7" s="52" t="n">
        <f aca="false">$D$7*(F8/$D$8)^Assumptions!$C$39</f>
        <v>15</v>
      </c>
      <c r="G7" s="52" t="n">
        <f aca="false">$D$7*(G8/$D$8)^Assumptions!$C$39</f>
        <v>13.8</v>
      </c>
      <c r="H7" s="52" t="n">
        <f aca="false">$D$7*(H8/$D$8)^Assumptions!$C$39</f>
        <v>12.9853748667685</v>
      </c>
      <c r="I7" s="52" t="n">
        <f aca="false">$D$7*(I8/$D$8)^Assumptions!$C$39</f>
        <v>12.5499003980111</v>
      </c>
      <c r="J7" s="52" t="n">
        <f aca="false">$D$7*(J8/$D$8)^Assumptions!$C$39</f>
        <v>12.5499003980111</v>
      </c>
      <c r="K7" s="52" t="n">
        <f aca="false">$D$7*(K8/$D$8)^Assumptions!$C$39</f>
        <v>12.5499003980111</v>
      </c>
      <c r="L7" s="52" t="n">
        <f aca="false">$D$7*(L8/$D$8)^Assumptions!$C$39</f>
        <v>12.5499003980111</v>
      </c>
      <c r="M7" s="52" t="n">
        <f aca="false">$D$7*(M8/$D$8)^Assumptions!$C$39</f>
        <v>12.5499003980111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4.085</v>
      </c>
      <c r="E8" s="52" t="n">
        <f aca="false">MAX($D$8*Assumptions!$C$40,$D$8*Assumptions!$C$10^LOG(MAX(1,SUM($D9:E9)),Assumptions!$C$41))</f>
        <v>4.085</v>
      </c>
      <c r="F8" s="52" t="n">
        <f aca="false">MAX($D$8*Assumptions!$C$40,$D$8*Assumptions!$C$10^LOG(MAX(1,SUM($D9:F9)),Assumptions!$C$41))</f>
        <v>4.085</v>
      </c>
      <c r="G8" s="52" t="n">
        <f aca="false">MAX($D$8*Assumptions!$C$40,$D$8*Assumptions!$C$10^LOG(MAX(1,SUM($D9:G9)),Assumptions!$C$41))</f>
        <v>3.457544</v>
      </c>
      <c r="H8" s="52" t="n">
        <f aca="false">MAX($D$8*Assumptions!$C$40,$D$8*Assumptions!$C$10^LOG(MAX(1,SUM($D9:H9)),Assumptions!$C$41))</f>
        <v>3.06138905937159</v>
      </c>
      <c r="I8" s="52" t="n">
        <f aca="false">MAX($D$8*Assumptions!$C$40,$D$8*Assumptions!$C$10^LOG(MAX(1,SUM($D9:I9)),Assumptions!$C$41))</f>
        <v>2.8595</v>
      </c>
      <c r="J8" s="52" t="n">
        <f aca="false">MAX($D$8*Assumptions!$C$40,$D$8*Assumptions!$C$10^LOG(MAX(1,SUM($D9:J9)),Assumptions!$C$41))</f>
        <v>2.8595</v>
      </c>
      <c r="K8" s="52" t="n">
        <f aca="false">MAX($D$8*Assumptions!$C$40,$D$8*Assumptions!$C$10^LOG(MAX(1,SUM($D9:K9)),Assumptions!$C$41))</f>
        <v>2.8595</v>
      </c>
      <c r="L8" s="52" t="n">
        <f aca="false">MAX($D$8*Assumptions!$C$40,$D$8*Assumptions!$C$10^LOG(MAX(1,SUM($D9:L9)),Assumptions!$C$41))</f>
        <v>2.8595</v>
      </c>
      <c r="M8" s="52" t="n">
        <f aca="false">MAX($D$8*Assumptions!$C$40,$D$8*Assumptions!$C$10^LOG(MAX(1,SUM($D9:M9)),Assumptions!$C$41))</f>
        <v>2.8595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0</v>
      </c>
      <c r="E9" s="97" t="n">
        <v>0</v>
      </c>
      <c r="F9" s="97" t="n">
        <v>1</v>
      </c>
      <c r="G9" s="97" t="n">
        <v>3</v>
      </c>
      <c r="H9" s="97" t="n">
        <v>7</v>
      </c>
      <c r="I9" s="97" t="n">
        <v>12</v>
      </c>
      <c r="J9" s="97" t="n">
        <v>18</v>
      </c>
      <c r="K9" s="97" t="n">
        <v>24</v>
      </c>
      <c r="L9" s="97" t="n">
        <v>28</v>
      </c>
      <c r="M9" s="97" t="n">
        <v>32</v>
      </c>
    </row>
    <row r="10" customFormat="false" ht="15" hidden="false" customHeight="true" outlineLevel="0" collapsed="false">
      <c r="B10" s="98" t="s">
        <v>479</v>
      </c>
      <c r="D10" s="23" t="n">
        <f aca="false">D7*D9</f>
        <v>0</v>
      </c>
      <c r="E10" s="23" t="n">
        <f aca="false">E7*E9</f>
        <v>0</v>
      </c>
      <c r="F10" s="23" t="n">
        <f aca="false">F7*F9</f>
        <v>15</v>
      </c>
      <c r="G10" s="23" t="n">
        <f aca="false">G7*G9</f>
        <v>41.4</v>
      </c>
      <c r="H10" s="23" t="n">
        <f aca="false">H7*H9</f>
        <v>90.8976240673796</v>
      </c>
      <c r="I10" s="23" t="n">
        <f aca="false">I7*I9</f>
        <v>150.598804776134</v>
      </c>
      <c r="J10" s="23" t="n">
        <f aca="false">J7*J9</f>
        <v>225.8982071642</v>
      </c>
      <c r="K10" s="23" t="n">
        <f aca="false">K7*K9</f>
        <v>301.197609552267</v>
      </c>
      <c r="L10" s="23" t="n">
        <f aca="false">L7*L9</f>
        <v>351.397211144312</v>
      </c>
      <c r="M10" s="23" t="n">
        <f aca="false">M7*M9</f>
        <v>401.596812736356</v>
      </c>
    </row>
    <row r="11" customFormat="false" ht="15" hidden="false" customHeight="true" outlineLevel="0" collapsed="false">
      <c r="B11" s="96" t="s">
        <v>480</v>
      </c>
      <c r="D11" s="25" t="n">
        <f aca="false">D8*D9</f>
        <v>0</v>
      </c>
      <c r="E11" s="25" t="n">
        <f aca="false">E8*E9</f>
        <v>0</v>
      </c>
      <c r="F11" s="25" t="n">
        <f aca="false">F8*F9</f>
        <v>4.085</v>
      </c>
      <c r="G11" s="25" t="n">
        <f aca="false">G8*G9</f>
        <v>10.372632</v>
      </c>
      <c r="H11" s="25" t="n">
        <f aca="false">H8*H9</f>
        <v>21.4297234156011</v>
      </c>
      <c r="I11" s="25" t="n">
        <f aca="false">I8*I9</f>
        <v>34.314</v>
      </c>
      <c r="J11" s="25" t="n">
        <f aca="false">J8*J9</f>
        <v>51.471</v>
      </c>
      <c r="K11" s="25" t="n">
        <f aca="false">K8*K9</f>
        <v>68.628</v>
      </c>
      <c r="L11" s="25" t="n">
        <f aca="false">L8*L9</f>
        <v>80.066</v>
      </c>
      <c r="M11" s="25" t="n">
        <f aca="false">M8*M9</f>
        <v>91.504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0.727666666666667</v>
      </c>
      <c r="E12" s="24" t="n">
        <f aca="false">IF(E7=0,0,1-E8/E7)</f>
        <v>0.727666666666667</v>
      </c>
      <c r="F12" s="24" t="n">
        <f aca="false">IF(F7=0,0,1-F8/F7)</f>
        <v>0.727666666666667</v>
      </c>
      <c r="G12" s="24" t="n">
        <f aca="false">IF(G7=0,0,1-G8/G7)</f>
        <v>0.749453333333333</v>
      </c>
      <c r="H12" s="24" t="n">
        <f aca="false">IF(H7=0,0,1-H8/H7)</f>
        <v>0.764243305196669</v>
      </c>
      <c r="I12" s="24" t="n">
        <f aca="false">IF(I7=0,0,1-I8/I7)</f>
        <v>0.77214958610722</v>
      </c>
      <c r="J12" s="24" t="n">
        <f aca="false">IF(J7=0,0,1-J8/J7)</f>
        <v>0.77214958610722</v>
      </c>
      <c r="K12" s="24" t="n">
        <f aca="false">IF(K7=0,0,1-K8/K7)</f>
        <v>0.77214958610722</v>
      </c>
      <c r="L12" s="24" t="n">
        <f aca="false">IF(L7=0,0,1-L8/L7)</f>
        <v>0.77214958610722</v>
      </c>
      <c r="M12" s="24" t="n">
        <f aca="false">IF(M7=0,0,1-M8/M7)</f>
        <v>0.77214958610722</v>
      </c>
    </row>
    <row r="14" customFormat="false" ht="15" hidden="false" customHeight="true" outlineLevel="0" collapsed="false">
      <c r="B14" s="103" t="s">
        <v>511</v>
      </c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60</v>
      </c>
      <c r="E15" s="52" t="n">
        <f aca="false">$D$15*(E16/$D$16)^Assumptions!$C$39</f>
        <v>60</v>
      </c>
      <c r="F15" s="52" t="n">
        <f aca="false">$D$15*(F16/$D$16)^Assumptions!$C$39</f>
        <v>60</v>
      </c>
      <c r="G15" s="52" t="n">
        <f aca="false">$D$15*(G16/$D$16)^Assumptions!$C$39</f>
        <v>60</v>
      </c>
      <c r="H15" s="52" t="n">
        <f aca="false">$D$15*(H16/$D$16)^Assumptions!$C$39</f>
        <v>60</v>
      </c>
      <c r="I15" s="52" t="n">
        <f aca="false">$D$15*(I16/$D$16)^Assumptions!$C$39</f>
        <v>57.5499782797526</v>
      </c>
      <c r="J15" s="52" t="n">
        <f aca="false">$D$15*(J16/$D$16)^Assumptions!$C$39</f>
        <v>55.2</v>
      </c>
      <c r="K15" s="52" t="n">
        <f aca="false">$D$15*(K16/$D$16)^Assumptions!$C$39</f>
        <v>53.3729293859286</v>
      </c>
      <c r="L15" s="52" t="n">
        <f aca="false">$D$15*(L16/$D$16)^Assumptions!$C$39</f>
        <v>52.2401161081341</v>
      </c>
      <c r="M15" s="52" t="n">
        <f aca="false">$D$15*(M16/$D$16)^Assumptions!$C$39</f>
        <v>51.193515448116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20.425</v>
      </c>
      <c r="E16" s="52" t="n">
        <f aca="false">MAX($D$16*Assumptions!$C$40,$D$16*Assumptions!$C$10^LOG(MAX(1,SUM($D17:E17)),Assumptions!$C$41))</f>
        <v>20.425</v>
      </c>
      <c r="F16" s="52" t="n">
        <f aca="false">MAX($D$16*Assumptions!$C$40,$D$16*Assumptions!$C$10^LOG(MAX(1,SUM($D17:F17)),Assumptions!$C$41))</f>
        <v>20.425</v>
      </c>
      <c r="G16" s="52" t="n">
        <f aca="false">MAX($D$16*Assumptions!$C$40,$D$16*Assumptions!$C$10^LOG(MAX(1,SUM($D17:G17)),Assumptions!$C$41))</f>
        <v>20.425</v>
      </c>
      <c r="H16" s="52" t="n">
        <f aca="false">MAX($D$16*Assumptions!$C$40,$D$16*Assumptions!$C$10^LOG(MAX(1,SUM($D17:H17)),Assumptions!$C$41))</f>
        <v>20.425</v>
      </c>
      <c r="I16" s="52" t="n">
        <f aca="false">MAX($D$16*Assumptions!$C$40,$D$16*Assumptions!$C$10^LOG(MAX(1,SUM($D17:I17)),Assumptions!$C$41))</f>
        <v>18.791</v>
      </c>
      <c r="J16" s="52" t="n">
        <f aca="false">MAX($D$16*Assumptions!$C$40,$D$16*Assumptions!$C$10^LOG(MAX(1,SUM($D17:J17)),Assumptions!$C$41))</f>
        <v>17.28772</v>
      </c>
      <c r="K16" s="52" t="n">
        <f aca="false">MAX($D$16*Assumptions!$C$40,$D$16*Assumptions!$C$10^LOG(MAX(1,SUM($D17:K17)),Assumptions!$C$41))</f>
        <v>16.162243444717</v>
      </c>
      <c r="L16" s="52" t="n">
        <f aca="false">MAX($D$16*Assumptions!$C$40,$D$16*Assumptions!$C$10^LOG(MAX(1,SUM($D17:L17)),Assumptions!$C$41))</f>
        <v>15.483453404305</v>
      </c>
      <c r="M16" s="52" t="n">
        <f aca="false">MAX($D$16*Assumptions!$C$40,$D$16*Assumptions!$C$10^LOG(MAX(1,SUM($D17:M17)),Assumptions!$C$41))</f>
        <v>14.8692639691397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0</v>
      </c>
      <c r="E17" s="97" t="n">
        <v>0</v>
      </c>
      <c r="F17" s="97" t="n">
        <v>0</v>
      </c>
      <c r="G17" s="97" t="n">
        <v>0</v>
      </c>
      <c r="H17" s="97" t="n">
        <v>1</v>
      </c>
      <c r="I17" s="97" t="n">
        <v>1</v>
      </c>
      <c r="J17" s="97" t="n">
        <v>2</v>
      </c>
      <c r="K17" s="97" t="n">
        <v>3</v>
      </c>
      <c r="L17" s="97" t="n">
        <v>3</v>
      </c>
      <c r="M17" s="97" t="n">
        <v>4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0</v>
      </c>
      <c r="E18" s="23" t="n">
        <f aca="false">E15*E17</f>
        <v>0</v>
      </c>
      <c r="F18" s="23" t="n">
        <f aca="false">F15*F17</f>
        <v>0</v>
      </c>
      <c r="G18" s="23" t="n">
        <f aca="false">G15*G17</f>
        <v>0</v>
      </c>
      <c r="H18" s="23" t="n">
        <f aca="false">H15*H17</f>
        <v>60</v>
      </c>
      <c r="I18" s="23" t="n">
        <f aca="false">I15*I17</f>
        <v>57.5499782797526</v>
      </c>
      <c r="J18" s="23" t="n">
        <f aca="false">J15*J17</f>
        <v>110.4</v>
      </c>
      <c r="K18" s="23" t="n">
        <f aca="false">K15*K17</f>
        <v>160.118788157786</v>
      </c>
      <c r="L18" s="23" t="n">
        <f aca="false">L15*L17</f>
        <v>156.720348324402</v>
      </c>
      <c r="M18" s="23" t="n">
        <f aca="false">M15*M17</f>
        <v>204.774061792464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</v>
      </c>
      <c r="E19" s="25" t="n">
        <f aca="false">E16*E17</f>
        <v>0</v>
      </c>
      <c r="F19" s="25" t="n">
        <f aca="false">F16*F17</f>
        <v>0</v>
      </c>
      <c r="G19" s="25" t="n">
        <f aca="false">G16*G17</f>
        <v>0</v>
      </c>
      <c r="H19" s="25" t="n">
        <f aca="false">H16*H17</f>
        <v>20.425</v>
      </c>
      <c r="I19" s="25" t="n">
        <f aca="false">I16*I17</f>
        <v>18.791</v>
      </c>
      <c r="J19" s="25" t="n">
        <f aca="false">J16*J17</f>
        <v>34.57544</v>
      </c>
      <c r="K19" s="25" t="n">
        <f aca="false">K16*K17</f>
        <v>48.4867303341511</v>
      </c>
      <c r="L19" s="25" t="n">
        <f aca="false">L16*L17</f>
        <v>46.450360212915</v>
      </c>
      <c r="M19" s="25" t="n">
        <f aca="false">M16*M17</f>
        <v>59.4770558765587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0.659583333333333</v>
      </c>
      <c r="E20" s="24" t="n">
        <f aca="false">IF(E15=0,0,1-E16/E15)</f>
        <v>0.659583333333333</v>
      </c>
      <c r="F20" s="24" t="n">
        <f aca="false">IF(F15=0,0,1-F16/F15)</f>
        <v>0.659583333333333</v>
      </c>
      <c r="G20" s="24" t="n">
        <f aca="false">IF(G15=0,0,1-G16/G15)</f>
        <v>0.659583333333333</v>
      </c>
      <c r="H20" s="24" t="n">
        <f aca="false">IF(H15=0,0,1-H16/H15)</f>
        <v>0.659583333333333</v>
      </c>
      <c r="I20" s="24" t="n">
        <f aca="false">IF(I15=0,0,1-I16/I15)</f>
        <v>0.673483803787792</v>
      </c>
      <c r="J20" s="24" t="n">
        <f aca="false">IF(J15=0,0,1-J16/J15)</f>
        <v>0.686816666666667</v>
      </c>
      <c r="K20" s="24" t="n">
        <f aca="false">IF(K15=0,0,1-K16/K15)</f>
        <v>0.697182754803447</v>
      </c>
      <c r="L20" s="24" t="n">
        <f aca="false">IF(L15=0,0,1-L16/L15)</f>
        <v>0.703609896803156</v>
      </c>
      <c r="M20" s="24" t="n">
        <f aca="false">IF(M15=0,0,1-M16/M15)</f>
        <v>0.709547901936731</v>
      </c>
    </row>
    <row r="22" customFormat="false" ht="15" hidden="false" customHeight="true" outlineLevel="0" collapsed="false">
      <c r="B22" s="103" t="s">
        <v>512</v>
      </c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45</v>
      </c>
      <c r="E23" s="52" t="n">
        <f aca="false">$D$23*(E24/$D$24)^Assumptions!$C$39</f>
        <v>45</v>
      </c>
      <c r="F23" s="52" t="n">
        <f aca="false">$D$23*(F24/$D$24)^Assumptions!$C$39</f>
        <v>45</v>
      </c>
      <c r="G23" s="52" t="n">
        <f aca="false">$D$23*(G24/$D$24)^Assumptions!$C$39</f>
        <v>42.1225879658068</v>
      </c>
      <c r="H23" s="52" t="n">
        <f aca="false">$D$23*(H24/$D$24)^Assumptions!$C$39</f>
        <v>40.0296970394464</v>
      </c>
      <c r="I23" s="52" t="n">
        <f aca="false">$D$23*(I24/$D$24)^Assumptions!$C$39</f>
        <v>38.5666603223931</v>
      </c>
      <c r="J23" s="52" t="n">
        <f aca="false">$D$23*(J24/$D$24)^Assumptions!$C$39</f>
        <v>37.6497011940334</v>
      </c>
      <c r="K23" s="52" t="n">
        <f aca="false">$D$23*(K24/$D$24)^Assumptions!$C$39</f>
        <v>37.6497011940334</v>
      </c>
      <c r="L23" s="52" t="n">
        <f aca="false">$D$23*(L24/$D$24)^Assumptions!$C$39</f>
        <v>37.6497011940334</v>
      </c>
      <c r="M23" s="52" t="n">
        <f aca="false">$D$23*(M24/$D$24)^Assumptions!$C$39</f>
        <v>37.6497011940334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15.39</v>
      </c>
      <c r="E24" s="52" t="n">
        <f aca="false">MAX($D$24*Assumptions!$C$40,$D$24*Assumptions!$C$10^LOG(MAX(1,SUM($D25:E25)),Assumptions!$C$41))</f>
        <v>15.39</v>
      </c>
      <c r="F24" s="52" t="n">
        <f aca="false">MAX($D$24*Assumptions!$C$40,$D$24*Assumptions!$C$10^LOG(MAX(1,SUM($D25:F25)),Assumptions!$C$41))</f>
        <v>15.39</v>
      </c>
      <c r="G24" s="52" t="n">
        <f aca="false">MAX($D$24*Assumptions!$C$40,$D$24*Assumptions!$C$10^LOG(MAX(1,SUM($D25:G25)),Assumptions!$C$41))</f>
        <v>13.4847743687222</v>
      </c>
      <c r="H24" s="52" t="n">
        <f aca="false">MAX($D$24*Assumptions!$C$40,$D$24*Assumptions!$C$10^LOG(MAX(1,SUM($D25:H25)),Assumptions!$C$41))</f>
        <v>12.178062502531</v>
      </c>
      <c r="I24" s="52" t="n">
        <f aca="false">MAX($D$24*Assumptions!$C$40,$D$24*Assumptions!$C$10^LOG(MAX(1,SUM($D25:I25)),Assumptions!$C$41))</f>
        <v>11.3041433920137</v>
      </c>
      <c r="J24" s="52" t="n">
        <f aca="false">MAX($D$24*Assumptions!$C$40,$D$24*Assumptions!$C$10^LOG(MAX(1,SUM($D25:J25)),Assumptions!$C$41))</f>
        <v>10.773</v>
      </c>
      <c r="K24" s="52" t="n">
        <f aca="false">MAX($D$24*Assumptions!$C$40,$D$24*Assumptions!$C$10^LOG(MAX(1,SUM($D25:K25)),Assumptions!$C$41))</f>
        <v>10.773</v>
      </c>
      <c r="L24" s="52" t="n">
        <f aca="false">MAX($D$24*Assumptions!$C$40,$D$24*Assumptions!$C$10^LOG(MAX(1,SUM($D25:L25)),Assumptions!$C$41))</f>
        <v>10.773</v>
      </c>
      <c r="M24" s="52" t="n">
        <f aca="false">MAX($D$24*Assumptions!$C$40,$D$24*Assumptions!$C$10^LOG(MAX(1,SUM($D25:M25)),Assumptions!$C$41))</f>
        <v>10.773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0</v>
      </c>
      <c r="E25" s="97" t="n">
        <v>0</v>
      </c>
      <c r="F25" s="97" t="n">
        <v>1</v>
      </c>
      <c r="G25" s="97" t="n">
        <v>2</v>
      </c>
      <c r="H25" s="97" t="n">
        <v>4</v>
      </c>
      <c r="I25" s="97" t="n">
        <v>6</v>
      </c>
      <c r="J25" s="97" t="n">
        <v>9</v>
      </c>
      <c r="K25" s="97" t="n">
        <v>11</v>
      </c>
      <c r="L25" s="97" t="n">
        <v>13</v>
      </c>
      <c r="M25" s="97" t="n">
        <v>15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0</v>
      </c>
      <c r="E26" s="23" t="n">
        <f aca="false">E23*E25</f>
        <v>0</v>
      </c>
      <c r="F26" s="23" t="n">
        <f aca="false">F23*F25</f>
        <v>45</v>
      </c>
      <c r="G26" s="23" t="n">
        <f aca="false">G23*G25</f>
        <v>84.2451759316137</v>
      </c>
      <c r="H26" s="23" t="n">
        <f aca="false">H23*H25</f>
        <v>160.118788157786</v>
      </c>
      <c r="I26" s="23" t="n">
        <f aca="false">I23*I25</f>
        <v>231.399961934359</v>
      </c>
      <c r="J26" s="23" t="n">
        <f aca="false">J23*J25</f>
        <v>338.847310746301</v>
      </c>
      <c r="K26" s="23" t="n">
        <f aca="false">K23*K25</f>
        <v>414.146713134367</v>
      </c>
      <c r="L26" s="23" t="n">
        <f aca="false">L23*L25</f>
        <v>489.446115522434</v>
      </c>
      <c r="M26" s="23" t="n">
        <f aca="false">M23*M25</f>
        <v>564.745517910501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</v>
      </c>
      <c r="E27" s="25" t="n">
        <f aca="false">E24*E25</f>
        <v>0</v>
      </c>
      <c r="F27" s="25" t="n">
        <f aca="false">F24*F25</f>
        <v>15.39</v>
      </c>
      <c r="G27" s="25" t="n">
        <f aca="false">G24*G25</f>
        <v>26.9695487374445</v>
      </c>
      <c r="H27" s="25" t="n">
        <f aca="false">H24*H25</f>
        <v>48.7122500101239</v>
      </c>
      <c r="I27" s="25" t="n">
        <f aca="false">I24*I25</f>
        <v>67.8248603520821</v>
      </c>
      <c r="J27" s="25" t="n">
        <f aca="false">J24*J25</f>
        <v>96.957</v>
      </c>
      <c r="K27" s="25" t="n">
        <f aca="false">K24*K25</f>
        <v>118.503</v>
      </c>
      <c r="L27" s="25" t="n">
        <f aca="false">L24*L25</f>
        <v>140.049</v>
      </c>
      <c r="M27" s="25" t="n">
        <f aca="false">M24*M25</f>
        <v>161.595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0.658</v>
      </c>
      <c r="E28" s="24" t="n">
        <f aca="false">IF(E23=0,0,1-E24/E23)</f>
        <v>0.658</v>
      </c>
      <c r="F28" s="24" t="n">
        <f aca="false">IF(F23=0,0,1-F24/F23)</f>
        <v>0.658</v>
      </c>
      <c r="G28" s="24" t="n">
        <f aca="false">IF(G23=0,0,1-G24/G23)</f>
        <v>0.679868331459868</v>
      </c>
      <c r="H28" s="24" t="n">
        <f aca="false">IF(H23=0,0,1-H24/H23)</f>
        <v>0.695774302500207</v>
      </c>
      <c r="I28" s="24" t="n">
        <f aca="false">IF(I23=0,0,1-I24/I23)</f>
        <v>0.706893381549812</v>
      </c>
      <c r="J28" s="24" t="n">
        <f aca="false">IF(J23=0,0,1-J24/J23)</f>
        <v>0.713862270925346</v>
      </c>
      <c r="K28" s="24" t="n">
        <f aca="false">IF(K23=0,0,1-K24/K23)</f>
        <v>0.713862270925346</v>
      </c>
      <c r="L28" s="24" t="n">
        <f aca="false">IF(L23=0,0,1-L24/L23)</f>
        <v>0.713862270925346</v>
      </c>
      <c r="M28" s="24" t="n">
        <f aca="false">IF(M23=0,0,1-M24/M23)</f>
        <v>0.713862270925346</v>
      </c>
    </row>
    <row r="30" customFormat="false" ht="21.75" hidden="false" customHeight="true" outlineLevel="0" collapsed="false">
      <c r="B30" s="6" t="s">
        <v>513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0</v>
      </c>
      <c r="E31" s="55" t="n">
        <f aca="false">E10+E18+E26</f>
        <v>0</v>
      </c>
      <c r="F31" s="55" t="n">
        <f aca="false">F10+F18+F26</f>
        <v>60</v>
      </c>
      <c r="G31" s="55" t="n">
        <f aca="false">G10+G18+G26</f>
        <v>125.645175931614</v>
      </c>
      <c r="H31" s="55" t="n">
        <f aca="false">H10+H18+H26</f>
        <v>311.016412225165</v>
      </c>
      <c r="I31" s="55" t="n">
        <f aca="false">I10+I18+I26</f>
        <v>439.548744990245</v>
      </c>
      <c r="J31" s="55" t="n">
        <f aca="false">J10+J18+J26</f>
        <v>675.145517910501</v>
      </c>
      <c r="K31" s="55" t="n">
        <f aca="false">K10+K18+K26</f>
        <v>875.46311084442</v>
      </c>
      <c r="L31" s="55" t="n">
        <f aca="false">L10+L18+L26</f>
        <v>997.563674991148</v>
      </c>
      <c r="M31" s="55" t="n">
        <f aca="false">M10+M18+M26</f>
        <v>1171.11639243932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0</v>
      </c>
      <c r="E32" s="55" t="n">
        <f aca="false">E11+E19+E27</f>
        <v>0</v>
      </c>
      <c r="F32" s="55" t="n">
        <f aca="false">F11+F19+F27</f>
        <v>19.475</v>
      </c>
      <c r="G32" s="55" t="n">
        <f aca="false">G11+G19+G27</f>
        <v>37.3421807374445</v>
      </c>
      <c r="H32" s="55" t="n">
        <f aca="false">H11+H19+H27</f>
        <v>90.566973425725</v>
      </c>
      <c r="I32" s="55" t="n">
        <f aca="false">I11+I19+I27</f>
        <v>120.929860352082</v>
      </c>
      <c r="J32" s="55" t="n">
        <f aca="false">J11+J19+J27</f>
        <v>183.00344</v>
      </c>
      <c r="K32" s="55" t="n">
        <f aca="false">K11+K19+K27</f>
        <v>235.617730334151</v>
      </c>
      <c r="L32" s="55" t="n">
        <f aca="false">L11+L19+L27</f>
        <v>266.565360212915</v>
      </c>
      <c r="M32" s="55" t="n">
        <f aca="false">M11+M19+M27</f>
        <v>312.576055876559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0</v>
      </c>
      <c r="E33" s="100" t="n">
        <f aca="false">E9+E17+E25</f>
        <v>0</v>
      </c>
      <c r="F33" s="100" t="n">
        <f aca="false">F9+F17+F25</f>
        <v>2</v>
      </c>
      <c r="G33" s="100" t="n">
        <f aca="false">G9+G17+G25</f>
        <v>5</v>
      </c>
      <c r="H33" s="100" t="n">
        <f aca="false">H9+H17+H25</f>
        <v>12</v>
      </c>
      <c r="I33" s="100" t="n">
        <f aca="false">I9+I17+I25</f>
        <v>19</v>
      </c>
      <c r="J33" s="100" t="n">
        <f aca="false">J9+J17+J25</f>
        <v>29</v>
      </c>
      <c r="K33" s="100" t="n">
        <f aca="false">K9+K17+K25</f>
        <v>38</v>
      </c>
      <c r="L33" s="100" t="n">
        <f aca="false">L9+L17+L25</f>
        <v>44</v>
      </c>
      <c r="M33" s="100" t="n">
        <f aca="false">M9+M17+M25</f>
        <v>51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0</v>
      </c>
      <c r="E34" s="55" t="n">
        <f aca="false">E31-E32</f>
        <v>0</v>
      </c>
      <c r="F34" s="55" t="n">
        <f aca="false">F31-F32</f>
        <v>40.525</v>
      </c>
      <c r="G34" s="55" t="n">
        <f aca="false">G31-G32</f>
        <v>88.3029951941692</v>
      </c>
      <c r="H34" s="55" t="n">
        <f aca="false">H31-H32</f>
        <v>220.44943879944</v>
      </c>
      <c r="I34" s="55" t="n">
        <f aca="false">I31-I32</f>
        <v>318.618884638163</v>
      </c>
      <c r="J34" s="55" t="n">
        <f aca="false">J31-J32</f>
        <v>492.142077910501</v>
      </c>
      <c r="K34" s="55" t="n">
        <f aca="false">K31-K32</f>
        <v>639.845380510269</v>
      </c>
      <c r="L34" s="55" t="n">
        <f aca="false">L31-L32</f>
        <v>730.998314778233</v>
      </c>
      <c r="M34" s="55" t="n">
        <f aca="false">M31-M32</f>
        <v>858.540336562763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</v>
      </c>
      <c r="E35" s="101" t="n">
        <f aca="false">IFERROR((E31-E32)/E31,0)</f>
        <v>0</v>
      </c>
      <c r="F35" s="101" t="n">
        <f aca="false">IFERROR((F31-F32)/F31,0)</f>
        <v>0.675416666666667</v>
      </c>
      <c r="G35" s="101" t="n">
        <f aca="false">IFERROR((G31-G32)/G31,0)</f>
        <v>0.702796542242345</v>
      </c>
      <c r="H35" s="101" t="n">
        <f aca="false">IFERROR((H31-H32)/H31,0)</f>
        <v>0.708803233958735</v>
      </c>
      <c r="I35" s="101" t="n">
        <f aca="false">IFERROR((I31-I32)/I31,0)</f>
        <v>0.724877248017701</v>
      </c>
      <c r="J35" s="101" t="n">
        <f aca="false">IFERROR((J31-J32)/J31,0)</f>
        <v>0.728942227793536</v>
      </c>
      <c r="K35" s="101" t="n">
        <f aca="false">IFERROR((K31-K32)/K31,0)</f>
        <v>0.730865038839971</v>
      </c>
      <c r="L35" s="101" t="n">
        <f aca="false">IFERROR((L31-L32)/L31,0)</f>
        <v>0.732783613822666</v>
      </c>
      <c r="M35" s="101" t="n">
        <f aca="false">IFERROR((M31-M32)/M31,0)</f>
        <v>0.733095653092607</v>
      </c>
    </row>
    <row r="36" customFormat="false" ht="15" hidden="false" customHeight="true" outlineLevel="0" collapsed="false">
      <c r="B36" s="54" t="s">
        <v>488</v>
      </c>
      <c r="D36" s="25" t="n">
        <f aca="false">D31</f>
        <v>0</v>
      </c>
      <c r="E36" s="25" t="n">
        <f aca="false">D36+E31</f>
        <v>0</v>
      </c>
      <c r="F36" s="25" t="n">
        <f aca="false">E36+F31</f>
        <v>60</v>
      </c>
      <c r="G36" s="25" t="n">
        <f aca="false">F36+G31</f>
        <v>185.645175931614</v>
      </c>
      <c r="H36" s="25" t="n">
        <f aca="false">G36+H31</f>
        <v>496.661588156779</v>
      </c>
      <c r="I36" s="25" t="n">
        <f aca="false">H36+I31</f>
        <v>936.210333147024</v>
      </c>
      <c r="J36" s="25" t="n">
        <f aca="false">I36+J31</f>
        <v>1611.35585105753</v>
      </c>
      <c r="K36" s="25" t="n">
        <f aca="false">J36+K31</f>
        <v>2486.81896190195</v>
      </c>
      <c r="L36" s="25" t="n">
        <f aca="false">K36+L31</f>
        <v>3484.38263689309</v>
      </c>
      <c r="M36" s="25" t="n">
        <f aca="false">L36+M31</f>
        <v>4655.49902933242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A303"/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P31" activeCellId="0" sqref="P3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469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514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31.5" hidden="false" customHeight="true" outlineLevel="0" collapsed="false">
      <c r="B3" s="4" t="s">
        <v>471</v>
      </c>
      <c r="C3" s="5" t="s">
        <v>515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customFormat="false" ht="15" hidden="false" customHeight="true" outlineLevel="0" collapsed="false">
      <c r="B5" s="20" t="s">
        <v>473</v>
      </c>
      <c r="C5" s="20" t="s">
        <v>318</v>
      </c>
      <c r="D5" s="21" t="s">
        <v>30</v>
      </c>
      <c r="E5" s="21" t="s">
        <v>25</v>
      </c>
      <c r="F5" s="21" t="s">
        <v>44</v>
      </c>
      <c r="G5" s="21" t="s">
        <v>39</v>
      </c>
      <c r="H5" s="21" t="s">
        <v>58</v>
      </c>
      <c r="I5" s="21" t="s">
        <v>59</v>
      </c>
      <c r="J5" s="21" t="s">
        <v>60</v>
      </c>
      <c r="K5" s="21" t="s">
        <v>61</v>
      </c>
      <c r="L5" s="21" t="s">
        <v>62</v>
      </c>
      <c r="M5" s="21" t="s">
        <v>63</v>
      </c>
    </row>
    <row r="6" customFormat="false" ht="15" hidden="false" customHeight="true" outlineLevel="0" collapsed="false">
      <c r="B6" s="104" t="s">
        <v>516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</row>
    <row r="7" customFormat="false" ht="15" hidden="false" customHeight="true" outlineLevel="0" collapsed="false">
      <c r="B7" s="96" t="s">
        <v>475</v>
      </c>
      <c r="C7" s="54" t="s">
        <v>476</v>
      </c>
      <c r="D7" s="52" t="n">
        <v>3.8</v>
      </c>
      <c r="E7" s="52" t="n">
        <f aca="false">$D$7*(E8/$D$8)^Assumptions!$C$39</f>
        <v>3.38028552777548</v>
      </c>
      <c r="F7" s="52" t="n">
        <f aca="false">$D$7*(F8/$D$8)^Assumptions!$C$39</f>
        <v>3.20461337939213</v>
      </c>
      <c r="G7" s="52" t="n">
        <f aca="false">$D$7*(G8/$D$8)^Assumptions!$C$39</f>
        <v>3.17930810082949</v>
      </c>
      <c r="H7" s="52" t="n">
        <f aca="false">$D$7*(H8/$D$8)^Assumptions!$C$39</f>
        <v>3.17930810082949</v>
      </c>
      <c r="I7" s="52" t="n">
        <f aca="false">$D$7*(I8/$D$8)^Assumptions!$C$39</f>
        <v>3.17930810082949</v>
      </c>
      <c r="J7" s="52" t="n">
        <f aca="false">$D$7*(J8/$D$8)^Assumptions!$C$39</f>
        <v>3.17930810082949</v>
      </c>
      <c r="K7" s="52" t="n">
        <f aca="false">$D$7*(K8/$D$8)^Assumptions!$C$39</f>
        <v>3.17930810082949</v>
      </c>
      <c r="L7" s="52" t="n">
        <f aca="false">$D$7*(L8/$D$8)^Assumptions!$C$39</f>
        <v>3.17930810082949</v>
      </c>
      <c r="M7" s="52" t="n">
        <f aca="false">$D$7*(M8/$D$8)^Assumptions!$C$39</f>
        <v>3.17930810082949</v>
      </c>
    </row>
    <row r="8" customFormat="false" ht="15" hidden="false" customHeight="true" outlineLevel="0" collapsed="false">
      <c r="B8" s="96" t="s">
        <v>477</v>
      </c>
      <c r="C8" s="54" t="s">
        <v>476</v>
      </c>
      <c r="D8" s="52" t="n">
        <v>0.6175</v>
      </c>
      <c r="E8" s="52" t="n">
        <f aca="false">MAX($D$8*Assumptions!$C$40,$D$8*Assumptions!$C$10^LOG(MAX(1,SUM($D9:E9)),Assumptions!$C$41))</f>
        <v>0.488625964607725</v>
      </c>
      <c r="F8" s="52" t="n">
        <f aca="false">MAX($D$8*Assumptions!$C$40,$D$8*Assumptions!$C$10^LOG(MAX(1,SUM($D9:F9)),Assumptions!$C$41))</f>
        <v>0.439158256078709</v>
      </c>
      <c r="G8" s="52" t="n">
        <f aca="false">MAX($D$8*Assumptions!$C$40,$D$8*Assumptions!$C$10^LOG(MAX(1,SUM($D9:G9)),Assumptions!$C$41))</f>
        <v>0.43225</v>
      </c>
      <c r="H8" s="52" t="n">
        <f aca="false">MAX($D$8*Assumptions!$C$40,$D$8*Assumptions!$C$10^LOG(MAX(1,SUM($D9:H9)),Assumptions!$C$41))</f>
        <v>0.43225</v>
      </c>
      <c r="I8" s="52" t="n">
        <f aca="false">MAX($D$8*Assumptions!$C$40,$D$8*Assumptions!$C$10^LOG(MAX(1,SUM($D9:I9)),Assumptions!$C$41))</f>
        <v>0.43225</v>
      </c>
      <c r="J8" s="52" t="n">
        <f aca="false">MAX($D$8*Assumptions!$C$40,$D$8*Assumptions!$C$10^LOG(MAX(1,SUM($D9:J9)),Assumptions!$C$41))</f>
        <v>0.43225</v>
      </c>
      <c r="K8" s="52" t="n">
        <f aca="false">MAX($D$8*Assumptions!$C$40,$D$8*Assumptions!$C$10^LOG(MAX(1,SUM($D9:K9)),Assumptions!$C$41))</f>
        <v>0.43225</v>
      </c>
      <c r="L8" s="52" t="n">
        <f aca="false">MAX($D$8*Assumptions!$C$40,$D$8*Assumptions!$C$10^LOG(MAX(1,SUM($D9:L9)),Assumptions!$C$41))</f>
        <v>0.43225</v>
      </c>
      <c r="M8" s="52" t="n">
        <f aca="false">MAX($D$8*Assumptions!$C$40,$D$8*Assumptions!$C$10^LOG(MAX(1,SUM($D9:M9)),Assumptions!$C$41))</f>
        <v>0.43225</v>
      </c>
    </row>
    <row r="9" customFormat="false" ht="15" hidden="false" customHeight="true" outlineLevel="0" collapsed="false">
      <c r="B9" s="96" t="s">
        <v>478</v>
      </c>
      <c r="C9" s="54" t="s">
        <v>476</v>
      </c>
      <c r="D9" s="97" t="n">
        <v>2</v>
      </c>
      <c r="E9" s="97" t="n">
        <v>5</v>
      </c>
      <c r="F9" s="97" t="n">
        <v>10</v>
      </c>
      <c r="G9" s="97" t="n">
        <v>18</v>
      </c>
      <c r="H9" s="97" t="n">
        <v>25</v>
      </c>
      <c r="I9" s="97" t="n">
        <v>32</v>
      </c>
      <c r="J9" s="97" t="n">
        <v>40</v>
      </c>
      <c r="K9" s="97" t="n">
        <v>45</v>
      </c>
      <c r="L9" s="97" t="n">
        <v>50</v>
      </c>
      <c r="M9" s="97" t="n">
        <v>55</v>
      </c>
    </row>
    <row r="10" customFormat="false" ht="15" hidden="false" customHeight="true" outlineLevel="0" collapsed="false">
      <c r="B10" s="98" t="s">
        <v>479</v>
      </c>
      <c r="D10" s="23" t="n">
        <f aca="false">D7*D9</f>
        <v>7.6</v>
      </c>
      <c r="E10" s="23" t="n">
        <f aca="false">E7*E9</f>
        <v>16.9014276388774</v>
      </c>
      <c r="F10" s="23" t="n">
        <f aca="false">F7*F9</f>
        <v>32.0461337939213</v>
      </c>
      <c r="G10" s="23" t="n">
        <f aca="false">G7*G9</f>
        <v>57.2275458149308</v>
      </c>
      <c r="H10" s="23" t="n">
        <f aca="false">H7*H9</f>
        <v>79.4827025207372</v>
      </c>
      <c r="I10" s="23" t="n">
        <f aca="false">I7*I9</f>
        <v>101.737859226544</v>
      </c>
      <c r="J10" s="23" t="n">
        <f aca="false">J7*J9</f>
        <v>127.172324033179</v>
      </c>
      <c r="K10" s="23" t="n">
        <f aca="false">K7*K9</f>
        <v>143.068864537327</v>
      </c>
      <c r="L10" s="23" t="n">
        <f aca="false">L7*L9</f>
        <v>158.965405041474</v>
      </c>
      <c r="M10" s="23" t="n">
        <f aca="false">M7*M9</f>
        <v>174.861945545622</v>
      </c>
    </row>
    <row r="11" customFormat="false" ht="15" hidden="false" customHeight="true" outlineLevel="0" collapsed="false">
      <c r="B11" s="96" t="s">
        <v>480</v>
      </c>
      <c r="D11" s="25" t="n">
        <f aca="false">D8*D9</f>
        <v>1.235</v>
      </c>
      <c r="E11" s="25" t="n">
        <f aca="false">E8*E9</f>
        <v>2.44312982303862</v>
      </c>
      <c r="F11" s="25" t="n">
        <f aca="false">F8*F9</f>
        <v>4.39158256078709</v>
      </c>
      <c r="G11" s="25" t="n">
        <f aca="false">G8*G9</f>
        <v>7.7805</v>
      </c>
      <c r="H11" s="25" t="n">
        <f aca="false">H8*H9</f>
        <v>10.80625</v>
      </c>
      <c r="I11" s="25" t="n">
        <f aca="false">I8*I9</f>
        <v>13.832</v>
      </c>
      <c r="J11" s="25" t="n">
        <f aca="false">J8*J9</f>
        <v>17.29</v>
      </c>
      <c r="K11" s="25" t="n">
        <f aca="false">K8*K9</f>
        <v>19.45125</v>
      </c>
      <c r="L11" s="25" t="n">
        <f aca="false">L8*L9</f>
        <v>21.6125</v>
      </c>
      <c r="M11" s="25" t="n">
        <f aca="false">M8*M9</f>
        <v>23.77375</v>
      </c>
    </row>
    <row r="12" customFormat="false" ht="15" hidden="false" customHeight="true" outlineLevel="0" collapsed="false">
      <c r="B12" s="99" t="s">
        <v>481</v>
      </c>
      <c r="D12" s="24" t="n">
        <f aca="false">IF(D7=0,0,1-D8/D7)</f>
        <v>0.8375</v>
      </c>
      <c r="E12" s="24" t="n">
        <f aca="false">IF(E7=0,0,1-E8/E7)</f>
        <v>0.855448316246444</v>
      </c>
      <c r="F12" s="24" t="n">
        <f aca="false">IF(F7=0,0,1-F8/F7)</f>
        <v>0.862960612065468</v>
      </c>
      <c r="G12" s="24" t="n">
        <f aca="false">IF(G7=0,0,1-G8/G7)</f>
        <v>0.864042745688213</v>
      </c>
      <c r="H12" s="24" t="n">
        <f aca="false">IF(H7=0,0,1-H8/H7)</f>
        <v>0.864042745688213</v>
      </c>
      <c r="I12" s="24" t="n">
        <f aca="false">IF(I7=0,0,1-I8/I7)</f>
        <v>0.864042745688213</v>
      </c>
      <c r="J12" s="24" t="n">
        <f aca="false">IF(J7=0,0,1-J8/J7)</f>
        <v>0.864042745688213</v>
      </c>
      <c r="K12" s="24" t="n">
        <f aca="false">IF(K7=0,0,1-K8/K7)</f>
        <v>0.864042745688213</v>
      </c>
      <c r="L12" s="24" t="n">
        <f aca="false">IF(L7=0,0,1-L8/L7)</f>
        <v>0.864042745688213</v>
      </c>
      <c r="M12" s="24" t="n">
        <f aca="false">IF(M7=0,0,1-M8/M7)</f>
        <v>0.864042745688213</v>
      </c>
    </row>
    <row r="14" customFormat="false" ht="15" hidden="false" customHeight="true" outlineLevel="0" collapsed="false">
      <c r="B14" s="104" t="s">
        <v>517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</row>
    <row r="15" customFormat="false" ht="15" hidden="false" customHeight="true" outlineLevel="0" collapsed="false">
      <c r="B15" s="96" t="s">
        <v>475</v>
      </c>
      <c r="C15" s="54" t="s">
        <v>476</v>
      </c>
      <c r="D15" s="52" t="n">
        <v>11.4</v>
      </c>
      <c r="E15" s="52" t="n">
        <f aca="false">$D$15*(E16/$D$16)^Assumptions!$C$39</f>
        <v>10.6710556180044</v>
      </c>
      <c r="F15" s="52" t="n">
        <f aca="false">$D$15*(F16/$D$16)^Assumptions!$C$39</f>
        <v>10.1408565833264</v>
      </c>
      <c r="G15" s="52" t="n">
        <f aca="false">$D$15*(G16/$D$16)^Assumptions!$C$39</f>
        <v>9.68648818199524</v>
      </c>
      <c r="H15" s="52" t="n">
        <f aca="false">$D$15*(H16/$D$16)^Assumptions!$C$39</f>
        <v>9.53792430248846</v>
      </c>
      <c r="I15" s="52" t="n">
        <f aca="false">$D$15*(I16/$D$16)^Assumptions!$C$39</f>
        <v>9.53792430248846</v>
      </c>
      <c r="J15" s="52" t="n">
        <f aca="false">$D$15*(J16/$D$16)^Assumptions!$C$39</f>
        <v>9.53792430248846</v>
      </c>
      <c r="K15" s="52" t="n">
        <f aca="false">$D$15*(K16/$D$16)^Assumptions!$C$39</f>
        <v>9.53792430248846</v>
      </c>
      <c r="L15" s="52" t="n">
        <f aca="false">$D$15*(L16/$D$16)^Assumptions!$C$39</f>
        <v>9.53792430248846</v>
      </c>
      <c r="M15" s="52" t="n">
        <f aca="false">$D$15*(M16/$D$16)^Assumptions!$C$39</f>
        <v>9.53792430248846</v>
      </c>
    </row>
    <row r="16" customFormat="false" ht="15" hidden="false" customHeight="true" outlineLevel="0" collapsed="false">
      <c r="B16" s="96" t="s">
        <v>477</v>
      </c>
      <c r="C16" s="54" t="s">
        <v>476</v>
      </c>
      <c r="D16" s="52" t="n">
        <v>0.475</v>
      </c>
      <c r="E16" s="52" t="n">
        <f aca="false">MAX($D$16*Assumptions!$C$40,$D$16*Assumptions!$C$10^LOG(MAX(1,SUM($D17:E17)),Assumptions!$C$41))</f>
        <v>0.416196739775377</v>
      </c>
      <c r="F16" s="52" t="n">
        <f aca="false">MAX($D$16*Assumptions!$C$40,$D$16*Assumptions!$C$10^LOG(MAX(1,SUM($D17:F17)),Assumptions!$C$41))</f>
        <v>0.375866126621327</v>
      </c>
      <c r="G16" s="52" t="n">
        <f aca="false">MAX($D$16*Assumptions!$C$40,$D$16*Assumptions!$C$10^LOG(MAX(1,SUM($D17:G17)),Assumptions!$C$41))</f>
        <v>0.342938791300927</v>
      </c>
      <c r="H16" s="52" t="n">
        <f aca="false">MAX($D$16*Assumptions!$C$40,$D$16*Assumptions!$C$10^LOG(MAX(1,SUM($D17:H17)),Assumptions!$C$41))</f>
        <v>0.3325</v>
      </c>
      <c r="I16" s="52" t="n">
        <f aca="false">MAX($D$16*Assumptions!$C$40,$D$16*Assumptions!$C$10^LOG(MAX(1,SUM($D17:I17)),Assumptions!$C$41))</f>
        <v>0.3325</v>
      </c>
      <c r="J16" s="52" t="n">
        <f aca="false">MAX($D$16*Assumptions!$C$40,$D$16*Assumptions!$C$10^LOG(MAX(1,SUM($D17:J17)),Assumptions!$C$41))</f>
        <v>0.3325</v>
      </c>
      <c r="K16" s="52" t="n">
        <f aca="false">MAX($D$16*Assumptions!$C$40,$D$16*Assumptions!$C$10^LOG(MAX(1,SUM($D17:K17)),Assumptions!$C$41))</f>
        <v>0.3325</v>
      </c>
      <c r="L16" s="52" t="n">
        <f aca="false">MAX($D$16*Assumptions!$C$40,$D$16*Assumptions!$C$10^LOG(MAX(1,SUM($D17:L17)),Assumptions!$C$41))</f>
        <v>0.3325</v>
      </c>
      <c r="M16" s="52" t="n">
        <f aca="false">MAX($D$16*Assumptions!$C$40,$D$16*Assumptions!$C$10^LOG(MAX(1,SUM($D17:M17)),Assumptions!$C$41))</f>
        <v>0.3325</v>
      </c>
    </row>
    <row r="17" customFormat="false" ht="15" hidden="false" customHeight="true" outlineLevel="0" collapsed="false">
      <c r="B17" s="96" t="s">
        <v>478</v>
      </c>
      <c r="C17" s="54" t="s">
        <v>476</v>
      </c>
      <c r="D17" s="97" t="n">
        <v>1</v>
      </c>
      <c r="E17" s="97" t="n">
        <v>2</v>
      </c>
      <c r="F17" s="97" t="n">
        <v>4</v>
      </c>
      <c r="G17" s="97" t="n">
        <v>8</v>
      </c>
      <c r="H17" s="97" t="n">
        <v>12</v>
      </c>
      <c r="I17" s="97" t="n">
        <v>18</v>
      </c>
      <c r="J17" s="97" t="n">
        <v>24</v>
      </c>
      <c r="K17" s="97" t="n">
        <v>28</v>
      </c>
      <c r="L17" s="97" t="n">
        <v>32</v>
      </c>
      <c r="M17" s="97" t="n">
        <v>35</v>
      </c>
    </row>
    <row r="18" customFormat="false" ht="15" hidden="false" customHeight="true" outlineLevel="0" collapsed="false">
      <c r="B18" s="98" t="s">
        <v>479</v>
      </c>
      <c r="D18" s="23" t="n">
        <f aca="false">D15*D17</f>
        <v>11.4</v>
      </c>
      <c r="E18" s="23" t="n">
        <f aca="false">E15*E17</f>
        <v>21.3421112360088</v>
      </c>
      <c r="F18" s="23" t="n">
        <f aca="false">F15*F17</f>
        <v>40.5634263333057</v>
      </c>
      <c r="G18" s="23" t="n">
        <f aca="false">G15*G17</f>
        <v>77.4919054559619</v>
      </c>
      <c r="H18" s="23" t="n">
        <f aca="false">H15*H17</f>
        <v>114.455091629862</v>
      </c>
      <c r="I18" s="23" t="n">
        <f aca="false">I15*I17</f>
        <v>171.682637444792</v>
      </c>
      <c r="J18" s="23" t="n">
        <f aca="false">J15*J17</f>
        <v>228.910183259723</v>
      </c>
      <c r="K18" s="23" t="n">
        <f aca="false">K15*K17</f>
        <v>267.061880469677</v>
      </c>
      <c r="L18" s="23" t="n">
        <f aca="false">L15*L17</f>
        <v>305.213577679631</v>
      </c>
      <c r="M18" s="23" t="n">
        <f aca="false">M15*M17</f>
        <v>333.827350587096</v>
      </c>
    </row>
    <row r="19" customFormat="false" ht="15" hidden="false" customHeight="true" outlineLevel="0" collapsed="false">
      <c r="B19" s="96" t="s">
        <v>480</v>
      </c>
      <c r="D19" s="25" t="n">
        <f aca="false">D16*D17</f>
        <v>0.475</v>
      </c>
      <c r="E19" s="25" t="n">
        <f aca="false">E16*E17</f>
        <v>0.832393479550755</v>
      </c>
      <c r="F19" s="25" t="n">
        <f aca="false">F16*F17</f>
        <v>1.50346450648531</v>
      </c>
      <c r="G19" s="25" t="n">
        <f aca="false">G16*G17</f>
        <v>2.74351033040741</v>
      </c>
      <c r="H19" s="25" t="n">
        <f aca="false">H16*H17</f>
        <v>3.99</v>
      </c>
      <c r="I19" s="25" t="n">
        <f aca="false">I16*I17</f>
        <v>5.985</v>
      </c>
      <c r="J19" s="25" t="n">
        <f aca="false">J16*J17</f>
        <v>7.98</v>
      </c>
      <c r="K19" s="25" t="n">
        <f aca="false">K16*K17</f>
        <v>9.31</v>
      </c>
      <c r="L19" s="25" t="n">
        <f aca="false">L16*L17</f>
        <v>10.64</v>
      </c>
      <c r="M19" s="25" t="n">
        <f aca="false">M16*M17</f>
        <v>11.6375</v>
      </c>
    </row>
    <row r="20" customFormat="false" ht="15" hidden="false" customHeight="true" outlineLevel="0" collapsed="false">
      <c r="B20" s="99" t="s">
        <v>481</v>
      </c>
      <c r="D20" s="24" t="n">
        <f aca="false">IF(D15=0,0,1-D16/D15)</f>
        <v>0.958333333333333</v>
      </c>
      <c r="E20" s="24" t="n">
        <f aca="false">IF(E15=0,0,1-E16/E15)</f>
        <v>0.960997603735364</v>
      </c>
      <c r="F20" s="24" t="n">
        <f aca="false">IF(F15=0,0,1-F16/F15)</f>
        <v>0.962935465704216</v>
      </c>
      <c r="G20" s="24" t="n">
        <f aca="false">IF(G15=0,0,1-G16/G15)</f>
        <v>0.964596168925456</v>
      </c>
      <c r="H20" s="24" t="n">
        <f aca="false">IF(H15=0,0,1-H16/H15)</f>
        <v>0.96513916556108</v>
      </c>
      <c r="I20" s="24" t="n">
        <f aca="false">IF(I15=0,0,1-I16/I15)</f>
        <v>0.96513916556108</v>
      </c>
      <c r="J20" s="24" t="n">
        <f aca="false">IF(J15=0,0,1-J16/J15)</f>
        <v>0.96513916556108</v>
      </c>
      <c r="K20" s="24" t="n">
        <f aca="false">IF(K15=0,0,1-K16/K15)</f>
        <v>0.96513916556108</v>
      </c>
      <c r="L20" s="24" t="n">
        <f aca="false">IF(L15=0,0,1-L16/L15)</f>
        <v>0.96513916556108</v>
      </c>
      <c r="M20" s="24" t="n">
        <f aca="false">IF(M15=0,0,1-M16/M15)</f>
        <v>0.96513916556108</v>
      </c>
    </row>
    <row r="22" customFormat="false" ht="15" hidden="false" customHeight="true" outlineLevel="0" collapsed="false">
      <c r="B22" s="104" t="s">
        <v>518</v>
      </c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</row>
    <row r="23" customFormat="false" ht="15" hidden="false" customHeight="true" outlineLevel="0" collapsed="false">
      <c r="B23" s="96" t="s">
        <v>475</v>
      </c>
      <c r="C23" s="54" t="s">
        <v>476</v>
      </c>
      <c r="D23" s="52" t="n">
        <v>5.7</v>
      </c>
      <c r="E23" s="52" t="n">
        <f aca="false">$D$23*(E24/$D$24)^Assumptions!$C$39</f>
        <v>5.11765849198488</v>
      </c>
      <c r="F23" s="52" t="n">
        <f aca="false">$D$23*(F24/$D$24)^Assumptions!$C$39</f>
        <v>4.86338396757102</v>
      </c>
      <c r="G23" s="52" t="n">
        <f aca="false">$D$23*(G24/$D$24)^Assumptions!$C$39</f>
        <v>4.76896215124423</v>
      </c>
      <c r="H23" s="52" t="n">
        <f aca="false">$D$23*(H24/$D$24)^Assumptions!$C$39</f>
        <v>4.76896215124423</v>
      </c>
      <c r="I23" s="52" t="n">
        <f aca="false">$D$23*(I24/$D$24)^Assumptions!$C$39</f>
        <v>4.76896215124423</v>
      </c>
      <c r="J23" s="52" t="n">
        <f aca="false">$D$23*(J24/$D$24)^Assumptions!$C$39</f>
        <v>4.76896215124423</v>
      </c>
      <c r="K23" s="52" t="n">
        <f aca="false">$D$23*(K24/$D$24)^Assumptions!$C$39</f>
        <v>4.76896215124423</v>
      </c>
      <c r="L23" s="52" t="n">
        <f aca="false">$D$23*(L24/$D$24)^Assumptions!$C$39</f>
        <v>4.76896215124423</v>
      </c>
      <c r="M23" s="52" t="n">
        <f aca="false">$D$23*(M24/$D$24)^Assumptions!$C$39</f>
        <v>4.76896215124423</v>
      </c>
    </row>
    <row r="24" customFormat="false" ht="15" hidden="false" customHeight="true" outlineLevel="0" collapsed="false">
      <c r="B24" s="96" t="s">
        <v>477</v>
      </c>
      <c r="C24" s="54" t="s">
        <v>476</v>
      </c>
      <c r="D24" s="52" t="n">
        <v>0.19</v>
      </c>
      <c r="E24" s="52" t="n">
        <f aca="false">MAX($D$24*Assumptions!$C$40,$D$24*Assumptions!$C$10^LOG(MAX(1,SUM($D25:E25)),Assumptions!$C$41))</f>
        <v>0.153160400237339</v>
      </c>
      <c r="F24" s="52" t="n">
        <f aca="false">MAX($D$24*Assumptions!$C$40,$D$24*Assumptions!$C$10^LOG(MAX(1,SUM($D25:F25)),Assumptions!$C$41))</f>
        <v>0.138318734596648</v>
      </c>
      <c r="G24" s="52" t="n">
        <f aca="false">MAX($D$24*Assumptions!$C$40,$D$24*Assumptions!$C$10^LOG(MAX(1,SUM($D25:G25)),Assumptions!$C$41))</f>
        <v>0.133</v>
      </c>
      <c r="H24" s="52" t="n">
        <f aca="false">MAX($D$24*Assumptions!$C$40,$D$24*Assumptions!$C$10^LOG(MAX(1,SUM($D25:H25)),Assumptions!$C$41))</f>
        <v>0.133</v>
      </c>
      <c r="I24" s="52" t="n">
        <f aca="false">MAX($D$24*Assumptions!$C$40,$D$24*Assumptions!$C$10^LOG(MAX(1,SUM($D25:I25)),Assumptions!$C$41))</f>
        <v>0.133</v>
      </c>
      <c r="J24" s="52" t="n">
        <f aca="false">MAX($D$24*Assumptions!$C$40,$D$24*Assumptions!$C$10^LOG(MAX(1,SUM($D25:J25)),Assumptions!$C$41))</f>
        <v>0.133</v>
      </c>
      <c r="K24" s="52" t="n">
        <f aca="false">MAX($D$24*Assumptions!$C$40,$D$24*Assumptions!$C$10^LOG(MAX(1,SUM($D25:K25)),Assumptions!$C$41))</f>
        <v>0.133</v>
      </c>
      <c r="L24" s="52" t="n">
        <f aca="false">MAX($D$24*Assumptions!$C$40,$D$24*Assumptions!$C$10^LOG(MAX(1,SUM($D25:L25)),Assumptions!$C$41))</f>
        <v>0.133</v>
      </c>
      <c r="M24" s="52" t="n">
        <f aca="false">MAX($D$24*Assumptions!$C$40,$D$24*Assumptions!$C$10^LOG(MAX(1,SUM($D25:M25)),Assumptions!$C$41))</f>
        <v>0.133</v>
      </c>
    </row>
    <row r="25" customFormat="false" ht="15" hidden="false" customHeight="true" outlineLevel="0" collapsed="false">
      <c r="B25" s="96" t="s">
        <v>478</v>
      </c>
      <c r="C25" s="54" t="s">
        <v>476</v>
      </c>
      <c r="D25" s="97" t="n">
        <v>2</v>
      </c>
      <c r="E25" s="97" t="n">
        <v>4</v>
      </c>
      <c r="F25" s="97" t="n">
        <v>8</v>
      </c>
      <c r="G25" s="97" t="n">
        <v>15</v>
      </c>
      <c r="H25" s="97" t="n">
        <v>22</v>
      </c>
      <c r="I25" s="97" t="n">
        <v>30</v>
      </c>
      <c r="J25" s="97" t="n">
        <v>38</v>
      </c>
      <c r="K25" s="97" t="n">
        <v>42</v>
      </c>
      <c r="L25" s="97" t="n">
        <v>48</v>
      </c>
      <c r="M25" s="97" t="n">
        <v>52</v>
      </c>
    </row>
    <row r="26" customFormat="false" ht="15" hidden="false" customHeight="true" outlineLevel="0" collapsed="false">
      <c r="B26" s="98" t="s">
        <v>479</v>
      </c>
      <c r="D26" s="23" t="n">
        <f aca="false">D23*D25</f>
        <v>11.4</v>
      </c>
      <c r="E26" s="23" t="n">
        <f aca="false">E23*E25</f>
        <v>20.4706339679395</v>
      </c>
      <c r="F26" s="23" t="n">
        <f aca="false">F23*F25</f>
        <v>38.9070717405682</v>
      </c>
      <c r="G26" s="23" t="n">
        <f aca="false">G23*G25</f>
        <v>71.5344322686635</v>
      </c>
      <c r="H26" s="23" t="n">
        <f aca="false">H23*H25</f>
        <v>104.917167327373</v>
      </c>
      <c r="I26" s="23" t="n">
        <f aca="false">I23*I25</f>
        <v>143.068864537327</v>
      </c>
      <c r="J26" s="23" t="n">
        <f aca="false">J23*J25</f>
        <v>181.220561747281</v>
      </c>
      <c r="K26" s="23" t="n">
        <f aca="false">K23*K25</f>
        <v>200.296410352258</v>
      </c>
      <c r="L26" s="23" t="n">
        <f aca="false">L23*L25</f>
        <v>228.910183259723</v>
      </c>
      <c r="M26" s="23" t="n">
        <f aca="false">M23*M25</f>
        <v>247.9860318647</v>
      </c>
    </row>
    <row r="27" customFormat="false" ht="15" hidden="false" customHeight="true" outlineLevel="0" collapsed="false">
      <c r="B27" s="96" t="s">
        <v>480</v>
      </c>
      <c r="D27" s="25" t="n">
        <f aca="false">D24*D25</f>
        <v>0.38</v>
      </c>
      <c r="E27" s="25" t="n">
        <f aca="false">E24*E25</f>
        <v>0.612641600949356</v>
      </c>
      <c r="F27" s="25" t="n">
        <f aca="false">F24*F25</f>
        <v>1.10654987677319</v>
      </c>
      <c r="G27" s="25" t="n">
        <f aca="false">G24*G25</f>
        <v>1.995</v>
      </c>
      <c r="H27" s="25" t="n">
        <f aca="false">H24*H25</f>
        <v>2.926</v>
      </c>
      <c r="I27" s="25" t="n">
        <f aca="false">I24*I25</f>
        <v>3.99</v>
      </c>
      <c r="J27" s="25" t="n">
        <f aca="false">J24*J25</f>
        <v>5.054</v>
      </c>
      <c r="K27" s="25" t="n">
        <f aca="false">K24*K25</f>
        <v>5.586</v>
      </c>
      <c r="L27" s="25" t="n">
        <f aca="false">L24*L25</f>
        <v>6.384</v>
      </c>
      <c r="M27" s="25" t="n">
        <f aca="false">M24*M25</f>
        <v>6.916</v>
      </c>
    </row>
    <row r="28" customFormat="false" ht="15" hidden="false" customHeight="true" outlineLevel="0" collapsed="false">
      <c r="B28" s="99" t="s">
        <v>481</v>
      </c>
      <c r="D28" s="24" t="n">
        <f aca="false">IF(D23=0,0,1-D24/D23)</f>
        <v>0.966666666666667</v>
      </c>
      <c r="E28" s="24" t="n">
        <f aca="false">IF(E23=0,0,1-E24/E23)</f>
        <v>0.970072172561492</v>
      </c>
      <c r="F28" s="24" t="n">
        <f aca="false">IF(F23=0,0,1-F24/F23)</f>
        <v>0.97155915808438</v>
      </c>
      <c r="G28" s="24" t="n">
        <f aca="false">IF(G23=0,0,1-G24/G23)</f>
        <v>0.972111332448864</v>
      </c>
      <c r="H28" s="24" t="n">
        <f aca="false">IF(H23=0,0,1-H24/H23)</f>
        <v>0.972111332448864</v>
      </c>
      <c r="I28" s="24" t="n">
        <f aca="false">IF(I23=0,0,1-I24/I23)</f>
        <v>0.972111332448864</v>
      </c>
      <c r="J28" s="24" t="n">
        <f aca="false">IF(J23=0,0,1-J24/J23)</f>
        <v>0.972111332448864</v>
      </c>
      <c r="K28" s="24" t="n">
        <f aca="false">IF(K23=0,0,1-K24/K23)</f>
        <v>0.972111332448864</v>
      </c>
      <c r="L28" s="24" t="n">
        <f aca="false">IF(L23=0,0,1-L24/L23)</f>
        <v>0.972111332448864</v>
      </c>
      <c r="M28" s="24" t="n">
        <f aca="false">IF(M23=0,0,1-M24/M23)</f>
        <v>0.972111332448864</v>
      </c>
    </row>
    <row r="30" customFormat="false" ht="21.75" hidden="false" customHeight="true" outlineLevel="0" collapsed="false">
      <c r="B30" s="6" t="s">
        <v>519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true" outlineLevel="0" collapsed="false">
      <c r="B31" s="53" t="s">
        <v>64</v>
      </c>
      <c r="D31" s="55" t="n">
        <f aca="false">D10+D18+D26</f>
        <v>30.4</v>
      </c>
      <c r="E31" s="55" t="n">
        <f aca="false">E10+E18+E26</f>
        <v>58.7141728428257</v>
      </c>
      <c r="F31" s="55" t="n">
        <f aca="false">F10+F18+F26</f>
        <v>111.516631867795</v>
      </c>
      <c r="G31" s="55" t="n">
        <f aca="false">G10+G18+G26</f>
        <v>206.253883539556</v>
      </c>
      <c r="H31" s="55" t="n">
        <f aca="false">H10+H18+H26</f>
        <v>298.854961477972</v>
      </c>
      <c r="I31" s="55" t="n">
        <f aca="false">I10+I18+I26</f>
        <v>416.489361208663</v>
      </c>
      <c r="J31" s="55" t="n">
        <f aca="false">J10+J18+J26</f>
        <v>537.303069040183</v>
      </c>
      <c r="K31" s="55" t="n">
        <f aca="false">K10+K18+K26</f>
        <v>610.427155359262</v>
      </c>
      <c r="L31" s="55" t="n">
        <f aca="false">L10+L18+L26</f>
        <v>693.089165980828</v>
      </c>
      <c r="M31" s="55" t="n">
        <f aca="false">M10+M18+M26</f>
        <v>756.675327997418</v>
      </c>
    </row>
    <row r="32" customFormat="false" ht="15" hidden="false" customHeight="true" outlineLevel="0" collapsed="false">
      <c r="B32" s="53" t="s">
        <v>485</v>
      </c>
      <c r="D32" s="55" t="n">
        <f aca="false">D11+D19+D27</f>
        <v>2.09</v>
      </c>
      <c r="E32" s="55" t="n">
        <f aca="false">E11+E19+E27</f>
        <v>3.88816490353873</v>
      </c>
      <c r="F32" s="55" t="n">
        <f aca="false">F11+F19+F27</f>
        <v>7.00159694404558</v>
      </c>
      <c r="G32" s="55" t="n">
        <f aca="false">G11+G19+G27</f>
        <v>12.5190103304074</v>
      </c>
      <c r="H32" s="55" t="n">
        <f aca="false">H11+H19+H27</f>
        <v>17.72225</v>
      </c>
      <c r="I32" s="55" t="n">
        <f aca="false">I11+I19+I27</f>
        <v>23.807</v>
      </c>
      <c r="J32" s="55" t="n">
        <f aca="false">J11+J19+J27</f>
        <v>30.324</v>
      </c>
      <c r="K32" s="55" t="n">
        <f aca="false">K11+K19+K27</f>
        <v>34.34725</v>
      </c>
      <c r="L32" s="55" t="n">
        <f aca="false">L11+L19+L27</f>
        <v>38.6365</v>
      </c>
      <c r="M32" s="55" t="n">
        <f aca="false">M11+M19+M27</f>
        <v>42.32725</v>
      </c>
    </row>
    <row r="33" customFormat="false" ht="15" hidden="false" customHeight="true" outlineLevel="0" collapsed="false">
      <c r="B33" s="53" t="s">
        <v>486</v>
      </c>
      <c r="D33" s="100" t="n">
        <f aca="false">D9+D17+D25</f>
        <v>5</v>
      </c>
      <c r="E33" s="100" t="n">
        <f aca="false">E9+E17+E25</f>
        <v>11</v>
      </c>
      <c r="F33" s="100" t="n">
        <f aca="false">F9+F17+F25</f>
        <v>22</v>
      </c>
      <c r="G33" s="100" t="n">
        <f aca="false">G9+G17+G25</f>
        <v>41</v>
      </c>
      <c r="H33" s="100" t="n">
        <f aca="false">H9+H17+H25</f>
        <v>59</v>
      </c>
      <c r="I33" s="100" t="n">
        <f aca="false">I9+I17+I25</f>
        <v>80</v>
      </c>
      <c r="J33" s="100" t="n">
        <f aca="false">J9+J17+J25</f>
        <v>102</v>
      </c>
      <c r="K33" s="100" t="n">
        <f aca="false">K9+K17+K25</f>
        <v>115</v>
      </c>
      <c r="L33" s="100" t="n">
        <f aca="false">L9+L17+L25</f>
        <v>130</v>
      </c>
      <c r="M33" s="100" t="n">
        <f aca="false">M9+M17+M25</f>
        <v>142</v>
      </c>
    </row>
    <row r="34" customFormat="false" ht="15" hidden="false" customHeight="true" outlineLevel="0" collapsed="false">
      <c r="B34" s="53" t="s">
        <v>487</v>
      </c>
      <c r="D34" s="55" t="n">
        <f aca="false">D31-D32</f>
        <v>28.31</v>
      </c>
      <c r="E34" s="55" t="n">
        <f aca="false">E31-E32</f>
        <v>54.826007939287</v>
      </c>
      <c r="F34" s="55" t="n">
        <f aca="false">F31-F32</f>
        <v>104.51503492375</v>
      </c>
      <c r="G34" s="55" t="n">
        <f aca="false">G31-G32</f>
        <v>193.734873209149</v>
      </c>
      <c r="H34" s="55" t="n">
        <f aca="false">H31-H32</f>
        <v>281.132711477972</v>
      </c>
      <c r="I34" s="55" t="n">
        <f aca="false">I31-I32</f>
        <v>392.682361208663</v>
      </c>
      <c r="J34" s="55" t="n">
        <f aca="false">J31-J32</f>
        <v>506.979069040183</v>
      </c>
      <c r="K34" s="55" t="n">
        <f aca="false">K31-K32</f>
        <v>576.079905359262</v>
      </c>
      <c r="L34" s="55" t="n">
        <f aca="false">L31-L32</f>
        <v>654.452665980828</v>
      </c>
      <c r="M34" s="55" t="n">
        <f aca="false">M31-M32</f>
        <v>714.348077997418</v>
      </c>
    </row>
    <row r="35" customFormat="false" ht="15" hidden="false" customHeight="true" outlineLevel="0" collapsed="false">
      <c r="B35" s="53" t="s">
        <v>67</v>
      </c>
      <c r="D35" s="101" t="n">
        <f aca="false">IFERROR((D31-D32)/D31,0)</f>
        <v>0.93125</v>
      </c>
      <c r="E35" s="101" t="n">
        <f aca="false">IFERROR((E31-E32)/E31,0)</f>
        <v>0.933778086017713</v>
      </c>
      <c r="F35" s="101" t="n">
        <f aca="false">IFERROR((F31-F32)/F31,0)</f>
        <v>0.937214773915104</v>
      </c>
      <c r="G35" s="101" t="n">
        <f aca="false">IFERROR((G31-G32)/G31,0)</f>
        <v>0.939302910977642</v>
      </c>
      <c r="H35" s="101" t="n">
        <f aca="false">IFERROR((H31-H32)/H31,0)</f>
        <v>0.940699495459752</v>
      </c>
      <c r="I35" s="101" t="n">
        <f aca="false">IFERROR((I31-I32)/I31,0)</f>
        <v>0.942838876049771</v>
      </c>
      <c r="J35" s="101" t="n">
        <f aca="false">IFERROR((J31-J32)/J31,0)</f>
        <v>0.943562578091784</v>
      </c>
      <c r="K35" s="101" t="n">
        <f aca="false">IFERROR((K31-K32)/K31,0)</f>
        <v>0.943732434413431</v>
      </c>
      <c r="L35" s="101" t="n">
        <f aca="false">IFERROR((L31-L32)/L31,0)</f>
        <v>0.944254647314645</v>
      </c>
      <c r="M35" s="101" t="n">
        <f aca="false">IFERROR((M31-M32)/M31,0)</f>
        <v>0.944061543394019</v>
      </c>
    </row>
    <row r="36" customFormat="false" ht="15" hidden="false" customHeight="true" outlineLevel="0" collapsed="false">
      <c r="B36" s="54" t="s">
        <v>488</v>
      </c>
      <c r="D36" s="25" t="n">
        <f aca="false">D31</f>
        <v>30.4</v>
      </c>
      <c r="E36" s="25" t="n">
        <f aca="false">D36+E31</f>
        <v>89.1141728428257</v>
      </c>
      <c r="F36" s="25" t="n">
        <f aca="false">E36+F31</f>
        <v>200.630804710621</v>
      </c>
      <c r="G36" s="25" t="n">
        <f aca="false">F36+G31</f>
        <v>406.884688250177</v>
      </c>
      <c r="H36" s="25" t="n">
        <f aca="false">G36+H31</f>
        <v>705.739649728149</v>
      </c>
      <c r="I36" s="25" t="n">
        <f aca="false">H36+I31</f>
        <v>1122.22901093681</v>
      </c>
      <c r="J36" s="25" t="n">
        <f aca="false">I36+J31</f>
        <v>1659.53207997699</v>
      </c>
      <c r="K36" s="25" t="n">
        <f aca="false">J36+K31</f>
        <v>2269.95923533626</v>
      </c>
      <c r="L36" s="25" t="n">
        <f aca="false">K36+L31</f>
        <v>2963.04840131708</v>
      </c>
      <c r="M36" s="25" t="n">
        <f aca="false">L36+M31</f>
        <v>3719.7237293145</v>
      </c>
    </row>
  </sheetData>
  <mergeCells count="7">
    <mergeCell ref="B1:M1"/>
    <mergeCell ref="B2:N2"/>
    <mergeCell ref="C3:M3"/>
    <mergeCell ref="B6:M6"/>
    <mergeCell ref="B14:M14"/>
    <mergeCell ref="B22:M22"/>
    <mergeCell ref="B30:N30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D7" activeCellId="0" sqref="D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8"/>
    <col collapsed="false" customWidth="true" hidden="false" outlineLevel="0" max="3" min="3" style="1" width="22"/>
    <col collapsed="false" customWidth="true" hidden="false" outlineLevel="0" max="13" min="4" style="1" width="13"/>
  </cols>
  <sheetData>
    <row r="1" customFormat="false" ht="31.5" hidden="false" customHeight="true" outlineLevel="0" collapsed="false">
      <c r="B1" s="94" t="s">
        <v>520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customFormat="false" ht="24" hidden="false" customHeight="true" outlineLevel="0" collapsed="false">
      <c r="B2" s="19" t="s">
        <v>521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customFormat="false" ht="15" hidden="false" customHeight="true" outlineLevel="0" collapsed="false">
      <c r="B3" s="1" t="s">
        <v>522</v>
      </c>
    </row>
    <row r="4" customFormat="false" ht="15" hidden="false" customHeight="true" outlineLevel="0" collapsed="false">
      <c r="B4" s="20" t="s">
        <v>18</v>
      </c>
      <c r="C4" s="20" t="s">
        <v>523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  <c r="N4" s="1" t="s">
        <v>524</v>
      </c>
    </row>
    <row r="5" customFormat="false" ht="21.75" hidden="false" customHeight="true" outlineLevel="0" collapsed="false">
      <c r="B5" s="6" t="s">
        <v>525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true" outlineLevel="0" collapsed="false">
      <c r="B6" s="72" t="s">
        <v>309</v>
      </c>
      <c r="C6" s="54" t="s">
        <v>526</v>
      </c>
      <c r="D6" s="23" t="n">
        <f aca="false">Backlog!D89</f>
        <v>0</v>
      </c>
      <c r="E6" s="23" t="n">
        <f aca="false">Backlog!E89</f>
        <v>50</v>
      </c>
      <c r="F6" s="23" t="n">
        <f aca="false">Backlog!F89</f>
        <v>125</v>
      </c>
      <c r="G6" s="23" t="n">
        <f aca="false">Backlog!G89</f>
        <v>206.05015</v>
      </c>
      <c r="H6" s="23" t="n">
        <f aca="false">Backlog!H89</f>
        <v>328.296025</v>
      </c>
      <c r="I6" s="23" t="n">
        <f aca="false">Backlog!I89</f>
        <v>452.6390125</v>
      </c>
      <c r="J6" s="23" t="n">
        <f aca="false">Backlog!J89</f>
        <v>565.62770625</v>
      </c>
      <c r="K6" s="23" t="n">
        <f aca="false">Backlog!K89</f>
        <v>677.774553125</v>
      </c>
      <c r="L6" s="23" t="n">
        <f aca="false">Backlog!L89</f>
        <v>774.0550765625</v>
      </c>
      <c r="M6" s="23" t="n">
        <f aca="false">Backlog!M89</f>
        <v>865.11598828125</v>
      </c>
    </row>
    <row r="7" customFormat="false" ht="15" hidden="false" customHeight="true" outlineLevel="0" collapsed="false">
      <c r="B7" s="72" t="s">
        <v>310</v>
      </c>
      <c r="C7" s="54" t="s">
        <v>526</v>
      </c>
      <c r="D7" s="23" t="n">
        <f aca="false">Backlog!D90</f>
        <v>52.5</v>
      </c>
      <c r="E7" s="23" t="n">
        <f aca="false">Backlog!E90</f>
        <v>144.2875</v>
      </c>
      <c r="F7" s="23" t="n">
        <f aca="false">Backlog!F90</f>
        <v>265.399</v>
      </c>
      <c r="G7" s="23" t="n">
        <f aca="false">Backlog!G90</f>
        <v>337.14245</v>
      </c>
      <c r="H7" s="23" t="n">
        <f aca="false">Backlog!H90</f>
        <v>430.997175</v>
      </c>
      <c r="I7" s="23" t="n">
        <f aca="false">Backlog!I90</f>
        <v>538.1312875</v>
      </c>
      <c r="J7" s="23" t="n">
        <f aca="false">Backlog!J90</f>
        <v>596.90129375</v>
      </c>
      <c r="K7" s="23" t="n">
        <f aca="false">Backlog!K90</f>
        <v>681.073746875</v>
      </c>
      <c r="L7" s="23" t="n">
        <f aca="false">Backlog!L90</f>
        <v>731.3246734375</v>
      </c>
      <c r="M7" s="23" t="n">
        <f aca="false">Backlog!M90</f>
        <v>760.43113671875</v>
      </c>
    </row>
    <row r="8" customFormat="false" ht="15" hidden="false" customHeight="true" outlineLevel="0" collapsed="false">
      <c r="B8" s="76" t="s">
        <v>311</v>
      </c>
      <c r="C8" s="54" t="s">
        <v>526</v>
      </c>
      <c r="D8" s="23" t="n">
        <f aca="false">Backlog!D91</f>
        <v>0</v>
      </c>
      <c r="E8" s="23" t="n">
        <f aca="false">Backlog!E91</f>
        <v>0</v>
      </c>
      <c r="F8" s="23" t="n">
        <f aca="false">Backlog!F91</f>
        <v>24.219657</v>
      </c>
      <c r="G8" s="23" t="n">
        <f aca="false">Backlog!G91</f>
        <v>106.54833519</v>
      </c>
      <c r="H8" s="23" t="n">
        <f aca="false">Backlog!H91</f>
        <v>231.5985565773</v>
      </c>
      <c r="I8" s="23" t="n">
        <f aca="false">Backlog!I91</f>
        <v>380.953600906791</v>
      </c>
      <c r="J8" s="23" t="n">
        <f aca="false">Backlog!J91</f>
        <v>545.24509060755</v>
      </c>
      <c r="K8" s="23" t="n">
        <f aca="false">Backlog!K91</f>
        <v>707.929219707059</v>
      </c>
      <c r="L8" s="23" t="n">
        <f aca="false">Backlog!L91</f>
        <v>883.489543203729</v>
      </c>
      <c r="M8" s="23" t="n">
        <f aca="false">Backlog!M91</f>
        <v>1036.5244879465</v>
      </c>
    </row>
    <row r="9" customFormat="false" ht="15" hidden="false" customHeight="true" outlineLevel="0" collapsed="false">
      <c r="B9" s="72" t="s">
        <v>312</v>
      </c>
      <c r="C9" s="54" t="s">
        <v>526</v>
      </c>
      <c r="D9" s="23" t="n">
        <f aca="false">Backlog!D92</f>
        <v>0</v>
      </c>
      <c r="E9" s="23" t="n">
        <f aca="false">Backlog!E92</f>
        <v>0</v>
      </c>
      <c r="F9" s="23" t="n">
        <f aca="false">Backlog!F92</f>
        <v>33</v>
      </c>
      <c r="G9" s="23" t="n">
        <f aca="false">Backlog!G92</f>
        <v>104.61</v>
      </c>
      <c r="H9" s="23" t="n">
        <f aca="false">Backlog!H92</f>
        <v>261.9507</v>
      </c>
      <c r="I9" s="23" t="n">
        <f aca="false">Backlog!I92</f>
        <v>496.715406</v>
      </c>
      <c r="J9" s="23" t="n">
        <f aca="false">Backlog!J92</f>
        <v>725.93927802</v>
      </c>
      <c r="K9" s="23" t="n">
        <f aca="false">Backlog!K92</f>
        <v>963.5432782734</v>
      </c>
      <c r="L9" s="23" t="n">
        <f aca="false">Backlog!L92</f>
        <v>1173.79879244318</v>
      </c>
      <c r="M9" s="23" t="n">
        <f aca="false">Backlog!M92</f>
        <v>1386.25371893693</v>
      </c>
    </row>
    <row r="10" customFormat="false" ht="15" hidden="false" customHeight="true" outlineLevel="0" collapsed="false">
      <c r="B10" s="77" t="s">
        <v>313</v>
      </c>
      <c r="C10" s="54" t="s">
        <v>526</v>
      </c>
      <c r="D10" s="23" t="n">
        <f aca="false">Backlog!D93</f>
        <v>0</v>
      </c>
      <c r="E10" s="23" t="n">
        <f aca="false">Backlog!E93</f>
        <v>0</v>
      </c>
      <c r="F10" s="23" t="n">
        <f aca="false">Backlog!F93</f>
        <v>18.9525</v>
      </c>
      <c r="G10" s="23" t="n">
        <f aca="false">Backlog!G93</f>
        <v>50.450875</v>
      </c>
      <c r="H10" s="23" t="n">
        <f aca="false">Backlog!H93</f>
        <v>100.33815625</v>
      </c>
      <c r="I10" s="23" t="n">
        <f aca="false">Backlog!I93</f>
        <v>158.7121421875</v>
      </c>
      <c r="J10" s="23" t="n">
        <f aca="false">Backlog!J93</f>
        <v>225.997431640625</v>
      </c>
      <c r="K10" s="23" t="n">
        <f aca="false">Backlog!K93</f>
        <v>326.595823730469</v>
      </c>
      <c r="L10" s="23" t="n">
        <f aca="false">Backlog!L93</f>
        <v>438.562467797852</v>
      </c>
      <c r="M10" s="23" t="n">
        <f aca="false">Backlog!M93</f>
        <v>549.151850848389</v>
      </c>
    </row>
    <row r="11" customFormat="false" ht="15" hidden="false" customHeight="true" outlineLevel="0" collapsed="false">
      <c r="B11" s="78" t="s">
        <v>314</v>
      </c>
      <c r="C11" s="54" t="s">
        <v>526</v>
      </c>
      <c r="D11" s="23" t="n">
        <f aca="false">Backlog!D94</f>
        <v>0</v>
      </c>
      <c r="E11" s="23" t="n">
        <f aca="false">Backlog!E94</f>
        <v>9.12</v>
      </c>
      <c r="F11" s="23" t="n">
        <f aca="false">Backlog!F94</f>
        <v>24.45425</v>
      </c>
      <c r="G11" s="23" t="n">
        <f aca="false">Backlog!G94</f>
        <v>50.4017125</v>
      </c>
      <c r="H11" s="23" t="n">
        <f aca="false">Backlog!H94</f>
        <v>94.521109375</v>
      </c>
      <c r="I11" s="23" t="n">
        <f aca="false">Backlog!I94</f>
        <v>153.07595703125</v>
      </c>
      <c r="J11" s="23" t="n">
        <f aca="false">Backlog!J94</f>
        <v>224.135417773438</v>
      </c>
      <c r="K11" s="23" t="n">
        <f aca="false">Backlog!K94</f>
        <v>302.427338330078</v>
      </c>
      <c r="L11" s="23" t="n">
        <f aca="false">Backlog!L94</f>
        <v>379.427303747559</v>
      </c>
      <c r="M11" s="23" t="n">
        <f aca="false">Backlog!M94</f>
        <v>457.842777810669</v>
      </c>
    </row>
    <row r="12" customFormat="false" ht="15" hidden="false" customHeight="true" outlineLevel="0" collapsed="false">
      <c r="B12" s="53" t="s">
        <v>527</v>
      </c>
      <c r="C12" s="105"/>
      <c r="D12" s="55" t="n">
        <f aca="false">SUM(D6:D11)</f>
        <v>52.5</v>
      </c>
      <c r="E12" s="55" t="n">
        <f aca="false">SUM(E6:E11)</f>
        <v>203.4075</v>
      </c>
      <c r="F12" s="55" t="n">
        <f aca="false">SUM(F6:F11)</f>
        <v>491.025407</v>
      </c>
      <c r="G12" s="55" t="n">
        <f aca="false">SUM(G6:G11)</f>
        <v>855.20352269</v>
      </c>
      <c r="H12" s="55" t="n">
        <f aca="false">SUM(H6:H11)</f>
        <v>1447.7017222023</v>
      </c>
      <c r="I12" s="55" t="n">
        <f aca="false">SUM(I6:I11)</f>
        <v>2180.22740612554</v>
      </c>
      <c r="J12" s="55" t="n">
        <f aca="false">SUM(J6:J11)</f>
        <v>2883.84621804161</v>
      </c>
      <c r="K12" s="55" t="n">
        <f aca="false">SUM(K6:K11)</f>
        <v>3659.34396004101</v>
      </c>
      <c r="L12" s="55" t="n">
        <f aca="false">SUM(L6:L11)</f>
        <v>4380.65785719232</v>
      </c>
      <c r="M12" s="55" t="n">
        <f aca="false">SUM(M6:M11)</f>
        <v>5055.31996054249</v>
      </c>
    </row>
    <row r="14" customFormat="false" ht="21.75" hidden="false" customHeight="true" outlineLevel="0" collapsed="false">
      <c r="B14" s="6" t="s">
        <v>528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true" outlineLevel="0" collapsed="false">
      <c r="B15" s="54" t="s">
        <v>529</v>
      </c>
      <c r="D15" s="24" t="n">
        <f aca="false">IFERROR(D6/D12,0)</f>
        <v>0</v>
      </c>
      <c r="E15" s="24" t="n">
        <f aca="false">IFERROR(E6/E12,0)</f>
        <v>0.245811978417708</v>
      </c>
      <c r="F15" s="24" t="n">
        <f aca="false">IFERROR(F6/F12,0)</f>
        <v>0.254569311929719</v>
      </c>
      <c r="G15" s="24" t="n">
        <f aca="false">IFERROR(G6/G12,0)</f>
        <v>0.240936975273301</v>
      </c>
      <c r="H15" s="24" t="n">
        <f aca="false">IFERROR(H6/H12,0)</f>
        <v>0.226770487293877</v>
      </c>
      <c r="I15" s="24" t="n">
        <f aca="false">IFERROR(I6/I12,0)</f>
        <v>0.207610917663117</v>
      </c>
      <c r="J15" s="24" t="n">
        <f aca="false">IFERROR(J6/J12,0)</f>
        <v>0.196136570220485</v>
      </c>
      <c r="K15" s="24" t="n">
        <f aca="false">IFERROR(K6/K12,0)</f>
        <v>0.185217503608872</v>
      </c>
      <c r="L15" s="24" t="n">
        <f aca="false">IFERROR(L6/L12,0)</f>
        <v>0.176698363989242</v>
      </c>
      <c r="M15" s="24" t="n">
        <f aca="false">IFERROR(M6/M12,0)</f>
        <v>0.171129818692705</v>
      </c>
    </row>
    <row r="16" customFormat="false" ht="15" hidden="false" customHeight="true" outlineLevel="0" collapsed="false">
      <c r="B16" s="54" t="s">
        <v>530</v>
      </c>
      <c r="D16" s="24" t="n">
        <f aca="false">IFERROR(D7/D12,0)</f>
        <v>1</v>
      </c>
      <c r="E16" s="24" t="n">
        <f aca="false">IFERROR(E7/E12,0)</f>
        <v>0.709351916718902</v>
      </c>
      <c r="F16" s="24" t="n">
        <f aca="false">IFERROR(F7/F12,0)</f>
        <v>0.540499526534683</v>
      </c>
      <c r="G16" s="24" t="n">
        <f aca="false">IFERROR(G7/G12,0)</f>
        <v>0.394224814392176</v>
      </c>
      <c r="H16" s="24" t="n">
        <f aca="false">IFERROR(H7/H12,0)</f>
        <v>0.297711309166884</v>
      </c>
      <c r="I16" s="24" t="n">
        <f aca="false">IFERROR(I7/I12,0)</f>
        <v>0.246823467124609</v>
      </c>
      <c r="J16" s="24" t="n">
        <f aca="false">IFERROR(J7/J12,0)</f>
        <v>0.206980972152998</v>
      </c>
      <c r="K16" s="24" t="n">
        <f aca="false">IFERROR(K7/K12,0)</f>
        <v>0.186119084270878</v>
      </c>
      <c r="L16" s="24" t="n">
        <f aca="false">IFERROR(L7/L12,0)</f>
        <v>0.166944029248207</v>
      </c>
      <c r="M16" s="24" t="n">
        <f aca="false">IFERROR(M7/M12,0)</f>
        <v>0.150421959965744</v>
      </c>
    </row>
    <row r="17" customFormat="false" ht="15" hidden="false" customHeight="true" outlineLevel="0" collapsed="false">
      <c r="B17" s="54" t="s">
        <v>531</v>
      </c>
      <c r="D17" s="24" t="n">
        <f aca="false">IFERROR(D8/D12,0)</f>
        <v>0</v>
      </c>
      <c r="E17" s="24" t="n">
        <f aca="false">IFERROR(E8/E12,0)</f>
        <v>0</v>
      </c>
      <c r="F17" s="24" t="n">
        <f aca="false">IFERROR(F8/F12,0)</f>
        <v>0.0493246513413103</v>
      </c>
      <c r="G17" s="24" t="n">
        <f aca="false">IFERROR(G8/G12,0)</f>
        <v>0.124588279120808</v>
      </c>
      <c r="H17" s="24" t="n">
        <f aca="false">IFERROR(H8/H12,0)</f>
        <v>0.159976708617148</v>
      </c>
      <c r="I17" s="24" t="n">
        <f aca="false">IFERROR(I8/I12,0)</f>
        <v>0.174731131182219</v>
      </c>
      <c r="J17" s="24" t="n">
        <f aca="false">IFERROR(J8/J12,0)</f>
        <v>0.18906871219292</v>
      </c>
      <c r="K17" s="24" t="n">
        <f aca="false">IFERROR(K8/K12,0)</f>
        <v>0.19345796061738</v>
      </c>
      <c r="L17" s="24" t="n">
        <f aca="false">IFERROR(L8/L12,0)</f>
        <v>0.201679649953302</v>
      </c>
      <c r="M17" s="24" t="n">
        <f aca="false">IFERROR(M8/M12,0)</f>
        <v>0.205036376735147</v>
      </c>
    </row>
    <row r="18" customFormat="false" ht="15" hidden="false" customHeight="true" outlineLevel="0" collapsed="false">
      <c r="B18" s="54" t="s">
        <v>532</v>
      </c>
      <c r="D18" s="24" t="n">
        <f aca="false">IFERROR(D9/D12,0)</f>
        <v>0</v>
      </c>
      <c r="E18" s="24" t="n">
        <f aca="false">IFERROR(E9/E12,0)</f>
        <v>0</v>
      </c>
      <c r="F18" s="24" t="n">
        <f aca="false">IFERROR(F9/F12,0)</f>
        <v>0.0672062983494457</v>
      </c>
      <c r="G18" s="24" t="n">
        <f aca="false">IFERROR(G9/G12,0)</f>
        <v>0.122321759937277</v>
      </c>
      <c r="H18" s="24" t="n">
        <f aca="false">IFERROR(H9/H12,0)</f>
        <v>0.180942452428329</v>
      </c>
      <c r="I18" s="24" t="n">
        <f aca="false">IFERROR(I9/I12,0)</f>
        <v>0.227827337921005</v>
      </c>
      <c r="J18" s="24" t="n">
        <f aca="false">IFERROR(J9/J12,0)</f>
        <v>0.251726071063865</v>
      </c>
      <c r="K18" s="24" t="n">
        <f aca="false">IFERROR(K9/K12,0)</f>
        <v>0.263310388090056</v>
      </c>
      <c r="L18" s="24" t="n">
        <f aca="false">IFERROR(L9/L12,0)</f>
        <v>0.267950346890478</v>
      </c>
      <c r="M18" s="24" t="n">
        <f aca="false">IFERROR(M9/M12,0)</f>
        <v>0.274216811152774</v>
      </c>
    </row>
    <row r="19" customFormat="false" ht="15" hidden="false" customHeight="true" outlineLevel="0" collapsed="false">
      <c r="B19" s="54" t="s">
        <v>533</v>
      </c>
      <c r="D19" s="24" t="n">
        <f aca="false">IFERROR(D10/D12,0)</f>
        <v>0</v>
      </c>
      <c r="E19" s="24" t="n">
        <f aca="false">IFERROR(E10/E12,0)</f>
        <v>0</v>
      </c>
      <c r="F19" s="24" t="n">
        <f aca="false">IFERROR(F10/F12,0)</f>
        <v>0.0385977990747839</v>
      </c>
      <c r="G19" s="24" t="n">
        <f aca="false">IFERROR(G10/G12,0)</f>
        <v>0.0589928287962487</v>
      </c>
      <c r="H19" s="24" t="n">
        <f aca="false">IFERROR(H10/H12,0)</f>
        <v>0.0693085838824324</v>
      </c>
      <c r="I19" s="24" t="n">
        <f aca="false">IFERROR(I10/I12,0)</f>
        <v>0.072796141238104</v>
      </c>
      <c r="J19" s="24" t="n">
        <f aca="false">IFERROR(J10/J12,0)</f>
        <v>0.078366672337368</v>
      </c>
      <c r="K19" s="24" t="n">
        <f aca="false">IFERROR(K10/K12,0)</f>
        <v>0.0892498292854682</v>
      </c>
      <c r="L19" s="24" t="n">
        <f aca="false">IFERROR(L10/L12,0)</f>
        <v>0.10011338070555</v>
      </c>
      <c r="M19" s="24" t="n">
        <f aca="false">IFERROR(M10/M12,0)</f>
        <v>0.10862850524489</v>
      </c>
    </row>
    <row r="20" customFormat="false" ht="15" hidden="false" customHeight="true" outlineLevel="0" collapsed="false">
      <c r="B20" s="54" t="s">
        <v>534</v>
      </c>
      <c r="D20" s="24" t="n">
        <f aca="false">IFERROR(D11/D12,0)</f>
        <v>0</v>
      </c>
      <c r="E20" s="24" t="n">
        <f aca="false">IFERROR(E11/E12,0)</f>
        <v>0.04483610486339</v>
      </c>
      <c r="F20" s="24" t="n">
        <f aca="false">IFERROR(F11/F12,0)</f>
        <v>0.0498024127700586</v>
      </c>
      <c r="G20" s="24" t="n">
        <f aca="false">IFERROR(G11/G12,0)</f>
        <v>0.0589353424801899</v>
      </c>
      <c r="H20" s="24" t="n">
        <f aca="false">IFERROR(H11/H12,0)</f>
        <v>0.0652904586113297</v>
      </c>
      <c r="I20" s="24" t="n">
        <f aca="false">IFERROR(I11/I12,0)</f>
        <v>0.0702110048709459</v>
      </c>
      <c r="J20" s="24" t="n">
        <f aca="false">IFERROR(J11/J12,0)</f>
        <v>0.077721002032364</v>
      </c>
      <c r="K20" s="24" t="n">
        <f aca="false">IFERROR(K11/K12,0)</f>
        <v>0.0826452341273459</v>
      </c>
      <c r="L20" s="24" t="n">
        <f aca="false">IFERROR(L11/L12,0)</f>
        <v>0.0866142292132223</v>
      </c>
      <c r="M20" s="24" t="n">
        <f aca="false">IFERROR(M11/M12,0)</f>
        <v>0.0905665282087383</v>
      </c>
    </row>
    <row r="22" customFormat="false" ht="21.75" hidden="false" customHeight="true" outlineLevel="0" collapsed="false">
      <c r="B22" s="6" t="s">
        <v>535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true" outlineLevel="0" collapsed="false">
      <c r="B23" s="72" t="s">
        <v>309</v>
      </c>
      <c r="C23" s="54" t="s">
        <v>536</v>
      </c>
      <c r="D23" s="25" t="n">
        <f aca="false">IFERROR(V1_AESA!D32*(D6/V1_AESA!D31),0)</f>
        <v>0</v>
      </c>
      <c r="E23" s="25" t="n">
        <f aca="false">IFERROR(V1_AESA!E32*(E6/V1_AESA!E31),0)</f>
        <v>18.9150072067412</v>
      </c>
      <c r="F23" s="25" t="n">
        <f aca="false">IFERROR(V1_AESA!F32*(F6/V1_AESA!F31),0)</f>
        <v>45.2097709065371</v>
      </c>
      <c r="G23" s="25" t="n">
        <f aca="false">IFERROR(V1_AESA!G32*(G6/V1_AESA!G31),0)</f>
        <v>73.4179607017262</v>
      </c>
      <c r="H23" s="25" t="n">
        <f aca="false">IFERROR(V1_AESA!H32*(H6/V1_AESA!H31),0)</f>
        <v>116.018810164024</v>
      </c>
      <c r="I23" s="25" t="n">
        <f aca="false">IFERROR(V1_AESA!I32*(I6/V1_AESA!I31),0)</f>
        <v>159.037615491227</v>
      </c>
      <c r="J23" s="25" t="n">
        <f aca="false">IFERROR(V1_AESA!J32*(J6/V1_AESA!J31),0)</f>
        <v>197.964099963411</v>
      </c>
      <c r="K23" s="25" t="n">
        <f aca="false">IFERROR(V1_AESA!K32*(K6/V1_AESA!K31),0)</f>
        <v>236.59516193803</v>
      </c>
      <c r="L23" s="25" t="n">
        <f aca="false">IFERROR(V1_AESA!L32*(L6/V1_AESA!L31),0)</f>
        <v>270.6999451311</v>
      </c>
      <c r="M23" s="25" t="n">
        <f aca="false">IFERROR(V1_AESA!M32*(M6/V1_AESA!M31),0)</f>
        <v>302.445927871086</v>
      </c>
    </row>
    <row r="24" customFormat="false" ht="15" hidden="false" customHeight="true" outlineLevel="0" collapsed="false">
      <c r="B24" s="72" t="s">
        <v>310</v>
      </c>
      <c r="C24" s="54" t="s">
        <v>536</v>
      </c>
      <c r="D24" s="25" t="n">
        <f aca="false">IFERROR(V2_EW_SIGINT!D40*(D7/V2_EW_SIGINT!D39),0)</f>
        <v>23.4583832335329</v>
      </c>
      <c r="E24" s="25" t="n">
        <f aca="false">IFERROR(V2_EW_SIGINT!E40*(E7/V2_EW_SIGINT!E39),0)</f>
        <v>61.2496818286782</v>
      </c>
      <c r="F24" s="25" t="n">
        <f aca="false">IFERROR(V2_EW_SIGINT!F40*(F7/V2_EW_SIGINT!F39),0)</f>
        <v>107.141224369387</v>
      </c>
      <c r="G24" s="25" t="n">
        <f aca="false">IFERROR(V2_EW_SIGINT!G40*(G7/V2_EW_SIGINT!G39),0)</f>
        <v>134.239897535013</v>
      </c>
      <c r="H24" s="25" t="n">
        <f aca="false">IFERROR(V2_EW_SIGINT!H40*(H7/V2_EW_SIGINT!H39),0)</f>
        <v>168.584815642297</v>
      </c>
      <c r="I24" s="25" t="n">
        <f aca="false">IFERROR(V2_EW_SIGINT!I40*(I7/V2_EW_SIGINT!I39),0)</f>
        <v>208.153698976937</v>
      </c>
      <c r="J24" s="25" t="n">
        <f aca="false">IFERROR(V2_EW_SIGINT!J40*(J7/V2_EW_SIGINT!J39),0)</f>
        <v>226.77000280043</v>
      </c>
      <c r="K24" s="25" t="n">
        <f aca="false">IFERROR(V2_EW_SIGINT!K40*(K7/V2_EW_SIGINT!K39),0)</f>
        <v>268.042351195773</v>
      </c>
      <c r="L24" s="25" t="n">
        <f aca="false">IFERROR(V2_EW_SIGINT!L40*(L7/V2_EW_SIGINT!L39),0)</f>
        <v>283.750443277499</v>
      </c>
      <c r="M24" s="25" t="n">
        <f aca="false">IFERROR(V2_EW_SIGINT!M40*(M7/V2_EW_SIGINT!M39),0)</f>
        <v>294.947177006608</v>
      </c>
    </row>
    <row r="25" customFormat="false" ht="15" hidden="false" customHeight="true" outlineLevel="0" collapsed="false">
      <c r="B25" s="76" t="s">
        <v>311</v>
      </c>
      <c r="C25" s="54" t="s">
        <v>536</v>
      </c>
      <c r="D25" s="25" t="n">
        <f aca="false">IFERROR(V3_CUAS!D32*(D8/V3_CUAS!D31),0)</f>
        <v>0</v>
      </c>
      <c r="E25" s="25" t="n">
        <f aca="false">IFERROR(V3_CUAS!E32*(E8/V3_CUAS!E31),0)</f>
        <v>0</v>
      </c>
      <c r="F25" s="25" t="n">
        <f aca="false">IFERROR(V3_CUAS!F32*(F8/V3_CUAS!F31),0)</f>
        <v>11.3549062517634</v>
      </c>
      <c r="G25" s="25" t="n">
        <f aca="false">IFERROR(V3_CUAS!G32*(G8/V3_CUAS!G31),0)</f>
        <v>48.274412322177</v>
      </c>
      <c r="H25" s="25" t="n">
        <f aca="false">IFERROR(V3_CUAS!H32*(H8/V3_CUAS!H31),0)</f>
        <v>104.351376574541</v>
      </c>
      <c r="I25" s="25" t="n">
        <f aca="false">IFERROR(V3_CUAS!I32*(I8/V3_CUAS!I31),0)</f>
        <v>170.969789865043</v>
      </c>
      <c r="J25" s="25" t="n">
        <f aca="false">IFERROR(V3_CUAS!J32*(J8/V3_CUAS!J31),0)</f>
        <v>243.599191772811</v>
      </c>
      <c r="K25" s="25" t="n">
        <f aca="false">IFERROR(V3_CUAS!K32*(K8/V3_CUAS!K31),0)</f>
        <v>315.416745496741</v>
      </c>
      <c r="L25" s="25" t="n">
        <f aca="false">IFERROR(V3_CUAS!L32*(L8/V3_CUAS!L31),0)</f>
        <v>396.235615518737</v>
      </c>
      <c r="M25" s="25" t="n">
        <f aca="false">IFERROR(V3_CUAS!M32*(M8/V3_CUAS!M31),0)</f>
        <v>463.146278094247</v>
      </c>
    </row>
    <row r="26" customFormat="false" ht="15" hidden="false" customHeight="true" outlineLevel="0" collapsed="false">
      <c r="B26" s="72" t="s">
        <v>312</v>
      </c>
      <c r="C26" s="54" t="s">
        <v>536</v>
      </c>
      <c r="D26" s="25" t="n">
        <f aca="false">IFERROR(V4_UAS_MALE!D32*(D9/V4_UAS_MALE!D31),0)</f>
        <v>0</v>
      </c>
      <c r="E26" s="25" t="n">
        <f aca="false">IFERROR(V4_UAS_MALE!E32*(E9/V4_UAS_MALE!E31),0)</f>
        <v>0</v>
      </c>
      <c r="F26" s="25" t="n">
        <f aca="false">IFERROR(V4_UAS_MALE!F32*(F9/V4_UAS_MALE!F31),0)</f>
        <v>0</v>
      </c>
      <c r="G26" s="25" t="n">
        <f aca="false">IFERROR(V4_UAS_MALE!G32*(G9/V4_UAS_MALE!G31),0)</f>
        <v>34.6408542857143</v>
      </c>
      <c r="H26" s="25" t="n">
        <f aca="false">IFERROR(V4_UAS_MALE!H32*(H9/V4_UAS_MALE!H31),0)</f>
        <v>86.1006133156789</v>
      </c>
      <c r="I26" s="25" t="n">
        <f aca="false">IFERROR(V4_UAS_MALE!I32*(I9/V4_UAS_MALE!I31),0)</f>
        <v>154.334428493716</v>
      </c>
      <c r="J26" s="25" t="n">
        <f aca="false">IFERROR(V4_UAS_MALE!J32*(J9/V4_UAS_MALE!J31),0)</f>
        <v>221.427627775474</v>
      </c>
      <c r="K26" s="25" t="n">
        <f aca="false">IFERROR(V4_UAS_MALE!K32*(K9/V4_UAS_MALE!K31),0)</f>
        <v>284.649536854857</v>
      </c>
      <c r="L26" s="25" t="n">
        <f aca="false">IFERROR(V4_UAS_MALE!L32*(L9/V4_UAS_MALE!L31),0)</f>
        <v>342.815355534678</v>
      </c>
      <c r="M26" s="25" t="n">
        <f aca="false">IFERROR(V4_UAS_MALE!M32*(M9/V4_UAS_MALE!M31),0)</f>
        <v>398.708310145081</v>
      </c>
    </row>
    <row r="27" customFormat="false" ht="15" hidden="false" customHeight="true" outlineLevel="0" collapsed="false">
      <c r="B27" s="77" t="s">
        <v>313</v>
      </c>
      <c r="C27" s="54" t="s">
        <v>536</v>
      </c>
      <c r="D27" s="25" t="n">
        <f aca="false">IFERROR(V5_Autonomous!D32*(D10/V5_Autonomous!D31),0)</f>
        <v>0</v>
      </c>
      <c r="E27" s="25" t="n">
        <f aca="false">IFERROR(V5_Autonomous!E32*(E10/V5_Autonomous!E31),0)</f>
        <v>0</v>
      </c>
      <c r="F27" s="25" t="n">
        <f aca="false">IFERROR(V5_Autonomous!F32*(F10/V5_Autonomous!F31),0)</f>
        <v>6.151665625</v>
      </c>
      <c r="G27" s="25" t="n">
        <f aca="false">IFERROR(V5_Autonomous!G32*(G10/V5_Autonomous!G31),0)</f>
        <v>14.9941744968992</v>
      </c>
      <c r="H27" s="25" t="n">
        <f aca="false">IFERROR(V5_Autonomous!H32*(H10/V5_Autonomous!H31),0)</f>
        <v>29.2181466105431</v>
      </c>
      <c r="I27" s="25" t="n">
        <f aca="false">IFERROR(V5_Autonomous!I32*(I10/V5_Autonomous!I31),0)</f>
        <v>43.665321331631</v>
      </c>
      <c r="J27" s="25" t="n">
        <f aca="false">IFERROR(V5_Autonomous!J32*(J10/V5_Autonomous!J31),0)</f>
        <v>61.2583603448905</v>
      </c>
      <c r="K27" s="25" t="n">
        <f aca="false">IFERROR(V5_Autonomous!K32*(K10/V5_Autonomous!K31),0)</f>
        <v>87.8983543347274</v>
      </c>
      <c r="L27" s="25" t="n">
        <f aca="false">IFERROR(V5_Autonomous!L32*(L10/V5_Autonomous!L31),0)</f>
        <v>117.191077757955</v>
      </c>
      <c r="M27" s="25" t="n">
        <f aca="false">IFERROR(V5_Autonomous!M32*(M10/V5_Autonomous!M31),0)</f>
        <v>146.571016103675</v>
      </c>
    </row>
    <row r="28" customFormat="false" ht="15" hidden="false" customHeight="true" outlineLevel="0" collapsed="false">
      <c r="B28" s="78" t="s">
        <v>314</v>
      </c>
      <c r="C28" s="54" t="s">
        <v>536</v>
      </c>
      <c r="D28" s="25" t="n">
        <f aca="false">IFERROR(V6_MilAI!D32*(D11/V6_MilAI!D31),0)</f>
        <v>0</v>
      </c>
      <c r="E28" s="25" t="n">
        <f aca="false">IFERROR(V6_MilAI!E32*(E11/V6_MilAI!E31),0)</f>
        <v>0.603943855518457</v>
      </c>
      <c r="F28" s="25" t="n">
        <f aca="false">IFERROR(V6_MilAI!F32*(F11/V6_MilAI!F31),0)</f>
        <v>1.53536561498656</v>
      </c>
      <c r="G28" s="25" t="n">
        <f aca="false">IFERROR(V6_MilAI!G32*(G11/V6_MilAI!G31),0)</f>
        <v>3.05923723049177</v>
      </c>
      <c r="H28" s="25" t="n">
        <f aca="false">IFERROR(V6_MilAI!H32*(H11/V6_MilAI!H31),0)</f>
        <v>5.60514947564143</v>
      </c>
      <c r="I28" s="25" t="n">
        <f aca="false">IFERROR(V6_MilAI!I32*(I11/V6_MilAI!I31),0)</f>
        <v>8.74999375366318</v>
      </c>
      <c r="J28" s="25" t="n">
        <f aca="false">IFERROR(V6_MilAI!J32*(J11/V6_MilAI!J31),0)</f>
        <v>12.6496251374537</v>
      </c>
      <c r="K28" s="25" t="n">
        <f aca="false">IFERROR(V6_MilAI!K32*(K11/V6_MilAI!K31),0)</f>
        <v>17.0168500946592</v>
      </c>
      <c r="L28" s="25" t="n">
        <f aca="false">IFERROR(V6_MilAI!L32*(L11/V6_MilAI!L31),0)</f>
        <v>21.1513088658611</v>
      </c>
      <c r="M28" s="25" t="n">
        <f aca="false">IFERROR(V6_MilAI!M32*(M11/V6_MilAI!M31),0)</f>
        <v>25.6110183589239</v>
      </c>
    </row>
    <row r="29" customFormat="false" ht="15" hidden="false" customHeight="true" outlineLevel="0" collapsed="false">
      <c r="B29" s="53" t="s">
        <v>537</v>
      </c>
      <c r="D29" s="55" t="n">
        <f aca="false">SUM(D23:D28)</f>
        <v>23.4583832335329</v>
      </c>
      <c r="E29" s="55" t="n">
        <f aca="false">SUM(E23:E28)</f>
        <v>80.7686328909379</v>
      </c>
      <c r="F29" s="55" t="n">
        <f aca="false">SUM(F23:F28)</f>
        <v>171.392932767674</v>
      </c>
      <c r="G29" s="55" t="n">
        <f aca="false">SUM(G23:G28)</f>
        <v>308.626536572021</v>
      </c>
      <c r="H29" s="55" t="n">
        <f aca="false">SUM(H23:H28)</f>
        <v>509.878911782725</v>
      </c>
      <c r="I29" s="55" t="n">
        <f aca="false">SUM(I23:I28)</f>
        <v>744.910847912218</v>
      </c>
      <c r="J29" s="55" t="n">
        <f aca="false">SUM(J23:J28)</f>
        <v>963.66890779447</v>
      </c>
      <c r="K29" s="55" t="n">
        <f aca="false">SUM(K23:K28)</f>
        <v>1209.61899991479</v>
      </c>
      <c r="L29" s="55" t="n">
        <f aca="false">SUM(L23:L28)</f>
        <v>1431.84374608583</v>
      </c>
      <c r="M29" s="55" t="n">
        <f aca="false">SUM(M23:M28)</f>
        <v>1631.42972757962</v>
      </c>
    </row>
    <row r="31" customFormat="false" ht="21.75" hidden="false" customHeight="true" outlineLevel="0" collapsed="false">
      <c r="B31" s="6" t="s">
        <v>538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true" outlineLevel="0" collapsed="false">
      <c r="B32" s="53" t="s">
        <v>539</v>
      </c>
      <c r="D32" s="55" t="n">
        <f aca="false">D12-D29</f>
        <v>29.0416167664671</v>
      </c>
      <c r="E32" s="55" t="n">
        <f aca="false">E12-E29</f>
        <v>122.638867109062</v>
      </c>
      <c r="F32" s="55" t="n">
        <f aca="false">F12-F29</f>
        <v>319.632474232326</v>
      </c>
      <c r="G32" s="55" t="n">
        <f aca="false">G12-G29</f>
        <v>546.576986117979</v>
      </c>
      <c r="H32" s="55" t="n">
        <f aca="false">H12-H29</f>
        <v>937.822810419574</v>
      </c>
      <c r="I32" s="55" t="n">
        <f aca="false">I12-I29</f>
        <v>1435.31655821332</v>
      </c>
      <c r="J32" s="55" t="n">
        <f aca="false">J12-J29</f>
        <v>1920.17731024714</v>
      </c>
      <c r="K32" s="55" t="n">
        <f aca="false">K12-K29</f>
        <v>2449.72496012622</v>
      </c>
      <c r="L32" s="55" t="n">
        <f aca="false">L12-L29</f>
        <v>2948.81411110649</v>
      </c>
      <c r="M32" s="55" t="n">
        <f aca="false">M12-M29</f>
        <v>3423.89023296286</v>
      </c>
    </row>
    <row r="33" customFormat="false" ht="15" hidden="false" customHeight="true" outlineLevel="0" collapsed="false">
      <c r="B33" s="53" t="s">
        <v>67</v>
      </c>
      <c r="D33" s="101" t="n">
        <f aca="false">IFERROR((D12-D29)/D12,0)</f>
        <v>0.553173652694611</v>
      </c>
      <c r="E33" s="101" t="n">
        <f aca="false">IFERROR((E12-E29)/E12,0)</f>
        <v>0.602922051099699</v>
      </c>
      <c r="F33" s="101" t="n">
        <f aca="false">IFERROR((F12-F29)/F12,0)</f>
        <v>0.650948952285734</v>
      </c>
      <c r="G33" s="101" t="n">
        <f aca="false">IFERROR((G12-G29)/G12,0)</f>
        <v>0.639119193988757</v>
      </c>
      <c r="H33" s="101" t="n">
        <f aca="false">IFERROR((H12-H29)/H12,0)</f>
        <v>0.647801129222201</v>
      </c>
      <c r="I33" s="101" t="n">
        <f aca="false">IFERROR((I12-I29)/I12,0)</f>
        <v>0.658333417046623</v>
      </c>
      <c r="J33" s="101" t="n">
        <f aca="false">IFERROR((J12-J29)/J12,0)</f>
        <v>0.665839009803759</v>
      </c>
      <c r="K33" s="101" t="n">
        <f aca="false">IFERROR((K12-K29)/K12,0)</f>
        <v>0.669443754639224</v>
      </c>
      <c r="L33" s="101" t="n">
        <f aca="false">IFERROR((L12-L29)/L12,0)</f>
        <v>0.673144127488756</v>
      </c>
      <c r="M33" s="101" t="n">
        <f aca="false">IFERROR((M12-M29)/M12,0)</f>
        <v>0.677284575395194</v>
      </c>
    </row>
    <row r="34" customFormat="false" ht="15" hidden="false" customHeight="true" outlineLevel="0" collapsed="false">
      <c r="B34" s="1" t="s">
        <v>540</v>
      </c>
    </row>
    <row r="35" customFormat="false" ht="15" hidden="false" customHeight="true" outlineLevel="0" collapsed="false">
      <c r="B35" s="1" t="s">
        <v>541</v>
      </c>
    </row>
  </sheetData>
  <mergeCells count="6">
    <mergeCell ref="B1:M1"/>
    <mergeCell ref="B2:N2"/>
    <mergeCell ref="B5:N5"/>
    <mergeCell ref="B14:N14"/>
    <mergeCell ref="B22:N22"/>
    <mergeCell ref="B31:N31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P17" activeCellId="0" sqref="P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542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customFormat="false" ht="30" hidden="false" customHeight="true" outlineLevel="0" collapsed="false">
      <c r="B3" s="106" t="s">
        <v>543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</row>
    <row r="4" customFormat="false" ht="15" hidden="false" customHeight="true" outlineLevel="0" collapsed="false">
      <c r="B4" s="20" t="s">
        <v>176</v>
      </c>
      <c r="C4" s="20" t="s">
        <v>544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545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true" outlineLevel="0" collapsed="false">
      <c r="B6" s="96" t="s">
        <v>546</v>
      </c>
      <c r="C6" s="107" t="n">
        <f aca="false">AVERAGE(D6:M6)</f>
        <v>1.205</v>
      </c>
      <c r="D6" s="108" t="n">
        <v>1.5</v>
      </c>
      <c r="E6" s="108" t="n">
        <v>1.5</v>
      </c>
      <c r="F6" s="108" t="n">
        <v>1.4</v>
      </c>
      <c r="G6" s="108" t="n">
        <v>1.3</v>
      </c>
      <c r="H6" s="108" t="n">
        <v>1.2</v>
      </c>
      <c r="I6" s="108" t="n">
        <v>1.1</v>
      </c>
      <c r="J6" s="108" t="n">
        <v>1.05</v>
      </c>
      <c r="K6" s="108" t="n">
        <v>1</v>
      </c>
      <c r="L6" s="108" t="n">
        <v>1</v>
      </c>
      <c r="M6" s="108" t="n">
        <v>1</v>
      </c>
    </row>
    <row r="7" customFormat="false" ht="15" hidden="false" customHeight="true" outlineLevel="0" collapsed="false">
      <c r="B7" s="96" t="s">
        <v>547</v>
      </c>
      <c r="C7" s="107" t="n">
        <f aca="false">AVERAGE(D7:M7)</f>
        <v>1.03</v>
      </c>
      <c r="D7" s="108" t="n">
        <v>1.1</v>
      </c>
      <c r="E7" s="108" t="n">
        <v>1.1</v>
      </c>
      <c r="F7" s="108" t="n">
        <v>1.05</v>
      </c>
      <c r="G7" s="108" t="n">
        <v>1.05</v>
      </c>
      <c r="H7" s="108" t="n">
        <v>1</v>
      </c>
      <c r="I7" s="108" t="n">
        <v>1</v>
      </c>
      <c r="J7" s="108" t="n">
        <v>1</v>
      </c>
      <c r="K7" s="108" t="n">
        <v>1</v>
      </c>
      <c r="L7" s="108" t="n">
        <v>1</v>
      </c>
      <c r="M7" s="108" t="n">
        <v>1</v>
      </c>
    </row>
    <row r="8" customFormat="false" ht="15" hidden="false" customHeight="true" outlineLevel="0" collapsed="false">
      <c r="B8" s="96" t="s">
        <v>548</v>
      </c>
      <c r="C8" s="107" t="n">
        <f aca="false">AVERAGE(D8:M8)</f>
        <v>1.155</v>
      </c>
      <c r="D8" s="108" t="n">
        <v>1.5</v>
      </c>
      <c r="E8" s="108" t="n">
        <v>1.4</v>
      </c>
      <c r="F8" s="108" t="n">
        <v>1.3</v>
      </c>
      <c r="G8" s="108" t="n">
        <v>1.2</v>
      </c>
      <c r="H8" s="108" t="n">
        <v>1.1</v>
      </c>
      <c r="I8" s="108" t="n">
        <v>1.05</v>
      </c>
      <c r="J8" s="108" t="n">
        <v>1</v>
      </c>
      <c r="K8" s="108" t="n">
        <v>1</v>
      </c>
      <c r="L8" s="108" t="n">
        <v>1</v>
      </c>
      <c r="M8" s="108" t="n">
        <v>1</v>
      </c>
    </row>
    <row r="9" customFormat="false" ht="15" hidden="false" customHeight="true" outlineLevel="0" collapsed="false">
      <c r="B9" s="96" t="s">
        <v>549</v>
      </c>
      <c r="C9" s="107" t="n">
        <f aca="false">AVERAGE(D9:M9)</f>
        <v>1.645</v>
      </c>
      <c r="D9" s="108" t="n">
        <v>3</v>
      </c>
      <c r="E9" s="108" t="n">
        <v>2.5</v>
      </c>
      <c r="F9" s="108" t="n">
        <v>2</v>
      </c>
      <c r="G9" s="108" t="n">
        <v>1.8</v>
      </c>
      <c r="H9" s="108" t="n">
        <v>1.5</v>
      </c>
      <c r="I9" s="108" t="n">
        <v>1.3</v>
      </c>
      <c r="J9" s="108" t="n">
        <v>1.2</v>
      </c>
      <c r="K9" s="108" t="n">
        <v>1.1</v>
      </c>
      <c r="L9" s="108" t="n">
        <v>1.05</v>
      </c>
      <c r="M9" s="108" t="n">
        <v>1</v>
      </c>
    </row>
    <row r="10" customFormat="false" ht="15" hidden="false" customHeight="true" outlineLevel="0" collapsed="false">
      <c r="B10" s="96" t="s">
        <v>550</v>
      </c>
      <c r="C10" s="107" t="n">
        <f aca="false">AVERAGE(D10:M10)</f>
        <v>1.245</v>
      </c>
      <c r="D10" s="108" t="n">
        <v>1.8</v>
      </c>
      <c r="E10" s="108" t="n">
        <v>1.6</v>
      </c>
      <c r="F10" s="108" t="n">
        <v>1.4</v>
      </c>
      <c r="G10" s="108" t="n">
        <v>1.3</v>
      </c>
      <c r="H10" s="108" t="n">
        <v>1.2</v>
      </c>
      <c r="I10" s="108" t="n">
        <v>1.1</v>
      </c>
      <c r="J10" s="108" t="n">
        <v>1.05</v>
      </c>
      <c r="K10" s="108" t="n">
        <v>1</v>
      </c>
      <c r="L10" s="108" t="n">
        <v>1</v>
      </c>
      <c r="M10" s="108" t="n">
        <v>1</v>
      </c>
    </row>
    <row r="11" customFormat="false" ht="15" hidden="false" customHeight="true" outlineLevel="0" collapsed="false">
      <c r="B11" s="96" t="s">
        <v>551</v>
      </c>
      <c r="C11" s="107" t="n">
        <f aca="false">AVERAGE(D11:M11)</f>
        <v>1.08</v>
      </c>
      <c r="D11" s="108" t="n">
        <v>1.2</v>
      </c>
      <c r="E11" s="108" t="n">
        <v>1.2</v>
      </c>
      <c r="F11" s="108" t="n">
        <v>1.15</v>
      </c>
      <c r="G11" s="108" t="n">
        <v>1.1</v>
      </c>
      <c r="H11" s="108" t="n">
        <v>1.1</v>
      </c>
      <c r="I11" s="108" t="n">
        <v>1.05</v>
      </c>
      <c r="J11" s="108" t="n">
        <v>1</v>
      </c>
      <c r="K11" s="108" t="n">
        <v>1</v>
      </c>
      <c r="L11" s="108" t="n">
        <v>1</v>
      </c>
      <c r="M11" s="108" t="n">
        <v>1</v>
      </c>
    </row>
    <row r="12" customFormat="false" ht="21.75" hidden="false" customHeight="true" outlineLevel="0" collapsed="false">
      <c r="B12" s="6" t="s">
        <v>552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customFormat="false" ht="15" hidden="false" customHeight="true" outlineLevel="0" collapsed="false">
      <c r="B13" s="96" t="s">
        <v>553</v>
      </c>
      <c r="C13" s="109" t="n">
        <f aca="false">AVERAGE(D13:M13)</f>
        <v>0.325</v>
      </c>
      <c r="D13" s="110" t="n">
        <v>0.25</v>
      </c>
      <c r="E13" s="110" t="n">
        <v>0.28</v>
      </c>
      <c r="F13" s="110" t="n">
        <v>0.3</v>
      </c>
      <c r="G13" s="110" t="n">
        <v>0.32</v>
      </c>
      <c r="H13" s="110" t="n">
        <v>0.35</v>
      </c>
      <c r="I13" s="110" t="n">
        <v>0.35</v>
      </c>
      <c r="J13" s="110" t="n">
        <v>0.35</v>
      </c>
      <c r="K13" s="110" t="n">
        <v>0.35</v>
      </c>
      <c r="L13" s="110" t="n">
        <v>0.35</v>
      </c>
      <c r="M13" s="110" t="n">
        <v>0.35</v>
      </c>
    </row>
    <row r="14" customFormat="false" ht="15" hidden="false" customHeight="true" outlineLevel="0" collapsed="false">
      <c r="B14" s="96" t="s">
        <v>554</v>
      </c>
      <c r="C14" s="109" t="n">
        <f aca="false">AVERAGE(D14:M14)</f>
        <v>0.4</v>
      </c>
      <c r="D14" s="110" t="n">
        <v>0.4</v>
      </c>
      <c r="E14" s="110" t="n">
        <v>0.4</v>
      </c>
      <c r="F14" s="110" t="n">
        <v>0.4</v>
      </c>
      <c r="G14" s="110" t="n">
        <v>0.4</v>
      </c>
      <c r="H14" s="110" t="n">
        <v>0.4</v>
      </c>
      <c r="I14" s="110" t="n">
        <v>0.4</v>
      </c>
      <c r="J14" s="110" t="n">
        <v>0.4</v>
      </c>
      <c r="K14" s="110" t="n">
        <v>0.4</v>
      </c>
      <c r="L14" s="110" t="n">
        <v>0.4</v>
      </c>
      <c r="M14" s="110" t="n">
        <v>0.4</v>
      </c>
    </row>
    <row r="15" customFormat="false" ht="15" hidden="false" customHeight="true" outlineLevel="0" collapsed="false">
      <c r="B15" s="96" t="s">
        <v>555</v>
      </c>
      <c r="C15" s="109" t="n">
        <f aca="false">AVERAGE(D15:M15)</f>
        <v>0.325</v>
      </c>
      <c r="D15" s="110" t="n">
        <v>0.25</v>
      </c>
      <c r="E15" s="110" t="n">
        <v>0.28</v>
      </c>
      <c r="F15" s="110" t="n">
        <v>0.3</v>
      </c>
      <c r="G15" s="110" t="n">
        <v>0.32</v>
      </c>
      <c r="H15" s="110" t="n">
        <v>0.35</v>
      </c>
      <c r="I15" s="110" t="n">
        <v>0.35</v>
      </c>
      <c r="J15" s="110" t="n">
        <v>0.35</v>
      </c>
      <c r="K15" s="110" t="n">
        <v>0.35</v>
      </c>
      <c r="L15" s="110" t="n">
        <v>0.35</v>
      </c>
      <c r="M15" s="110" t="n">
        <v>0.35</v>
      </c>
    </row>
    <row r="16" customFormat="false" ht="15" hidden="false" customHeight="true" outlineLevel="0" collapsed="false">
      <c r="B16" s="96" t="s">
        <v>556</v>
      </c>
      <c r="C16" s="109" t="n">
        <f aca="false">AVERAGE(D16:M16)</f>
        <v>0.297</v>
      </c>
      <c r="D16" s="110" t="n">
        <v>0.2</v>
      </c>
      <c r="E16" s="110" t="n">
        <v>0.22</v>
      </c>
      <c r="F16" s="110" t="n">
        <v>0.25</v>
      </c>
      <c r="G16" s="110" t="n">
        <v>0.28</v>
      </c>
      <c r="H16" s="110" t="n">
        <v>0.3</v>
      </c>
      <c r="I16" s="110" t="n">
        <v>0.32</v>
      </c>
      <c r="J16" s="110" t="n">
        <v>0.35</v>
      </c>
      <c r="K16" s="110" t="n">
        <v>0.35</v>
      </c>
      <c r="L16" s="110" t="n">
        <v>0.35</v>
      </c>
      <c r="M16" s="110" t="n">
        <v>0.35</v>
      </c>
    </row>
    <row r="17" customFormat="false" ht="15" hidden="false" customHeight="true" outlineLevel="0" collapsed="false">
      <c r="B17" s="96" t="s">
        <v>557</v>
      </c>
      <c r="C17" s="109" t="n">
        <f aca="false">AVERAGE(D17:M17)</f>
        <v>0.312</v>
      </c>
      <c r="D17" s="110" t="n">
        <v>0.22</v>
      </c>
      <c r="E17" s="110" t="n">
        <v>0.25</v>
      </c>
      <c r="F17" s="110" t="n">
        <v>0.28</v>
      </c>
      <c r="G17" s="110" t="n">
        <v>0.3</v>
      </c>
      <c r="H17" s="110" t="n">
        <v>0.32</v>
      </c>
      <c r="I17" s="110" t="n">
        <v>0.35</v>
      </c>
      <c r="J17" s="110" t="n">
        <v>0.35</v>
      </c>
      <c r="K17" s="110" t="n">
        <v>0.35</v>
      </c>
      <c r="L17" s="110" t="n">
        <v>0.35</v>
      </c>
      <c r="M17" s="110" t="n">
        <v>0.35</v>
      </c>
    </row>
    <row r="18" customFormat="false" ht="15" hidden="false" customHeight="true" outlineLevel="0" collapsed="false">
      <c r="B18" s="96" t="s">
        <v>558</v>
      </c>
      <c r="C18" s="109" t="n">
        <f aca="false">AVERAGE(D18:M18)</f>
        <v>0.342</v>
      </c>
      <c r="D18" s="110" t="n">
        <v>0.3</v>
      </c>
      <c r="E18" s="110" t="n">
        <v>0.32</v>
      </c>
      <c r="F18" s="110" t="n">
        <v>0.35</v>
      </c>
      <c r="G18" s="110" t="n">
        <v>0.35</v>
      </c>
      <c r="H18" s="110" t="n">
        <v>0.35</v>
      </c>
      <c r="I18" s="110" t="n">
        <v>0.35</v>
      </c>
      <c r="J18" s="110" t="n">
        <v>0.35</v>
      </c>
      <c r="K18" s="110" t="n">
        <v>0.35</v>
      </c>
      <c r="L18" s="110" t="n">
        <v>0.35</v>
      </c>
      <c r="M18" s="110" t="n">
        <v>0.35</v>
      </c>
    </row>
    <row r="19" customFormat="false" ht="21.75" hidden="false" customHeight="true" outlineLevel="0" collapsed="false">
      <c r="B19" s="6" t="s">
        <v>559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customFormat="false" ht="15" hidden="false" customHeight="true" outlineLevel="0" collapsed="false">
      <c r="B20" s="96" t="s">
        <v>560</v>
      </c>
      <c r="D20" s="25" t="n">
        <v>100</v>
      </c>
      <c r="E20" s="25" t="n">
        <v>200</v>
      </c>
      <c r="F20" s="25" t="n">
        <v>287.1003</v>
      </c>
      <c r="G20" s="25" t="n">
        <v>450.5419</v>
      </c>
      <c r="H20" s="25" t="n">
        <v>576.982</v>
      </c>
      <c r="I20" s="25" t="n">
        <v>678.6164</v>
      </c>
      <c r="J20" s="25" t="n">
        <v>789.9214</v>
      </c>
      <c r="K20" s="25" t="n">
        <v>870.3356</v>
      </c>
      <c r="L20" s="25" t="n">
        <v>956.1769</v>
      </c>
      <c r="M20" s="25" t="n">
        <v>1011.8148</v>
      </c>
    </row>
    <row r="21" customFormat="false" ht="15" hidden="false" customHeight="true" outlineLevel="0" collapsed="false">
      <c r="B21" s="96" t="s">
        <v>561</v>
      </c>
      <c r="D21" s="25" t="n">
        <v>341.075</v>
      </c>
      <c r="E21" s="25" t="n">
        <v>386.5105</v>
      </c>
      <c r="F21" s="25" t="n">
        <v>408.8859</v>
      </c>
      <c r="G21" s="25" t="n">
        <v>524.8519</v>
      </c>
      <c r="H21" s="25" t="n">
        <v>645.2654</v>
      </c>
      <c r="I21" s="25" t="n">
        <v>655.6713</v>
      </c>
      <c r="J21" s="25" t="n">
        <v>765.2462</v>
      </c>
      <c r="K21" s="25" t="n">
        <v>781.5756</v>
      </c>
      <c r="L21" s="25" t="n">
        <v>789.5376</v>
      </c>
      <c r="M21" s="25" t="n">
        <v>829.5914</v>
      </c>
    </row>
    <row r="22" customFormat="false" ht="15" hidden="false" customHeight="true" outlineLevel="0" collapsed="false">
      <c r="B22" s="96" t="s">
        <v>562</v>
      </c>
      <c r="D22" s="25" t="n">
        <v>0</v>
      </c>
      <c r="E22" s="25" t="n">
        <v>73.3929</v>
      </c>
      <c r="F22" s="25" t="n">
        <v>273.7005</v>
      </c>
      <c r="G22" s="25" t="n">
        <v>485.4884</v>
      </c>
      <c r="H22" s="25" t="n">
        <v>684.1896</v>
      </c>
      <c r="I22" s="25" t="n">
        <v>878.8066</v>
      </c>
      <c r="J22" s="25" t="n">
        <v>1038.2273</v>
      </c>
      <c r="K22" s="25" t="n">
        <v>1239.9302</v>
      </c>
      <c r="L22" s="25" t="n">
        <v>1347.2318</v>
      </c>
      <c r="M22" s="25" t="n">
        <v>1494.2748</v>
      </c>
    </row>
    <row r="23" customFormat="false" ht="15" hidden="false" customHeight="true" outlineLevel="0" collapsed="false">
      <c r="B23" s="96" t="s">
        <v>563</v>
      </c>
      <c r="D23" s="25" t="n">
        <v>0</v>
      </c>
      <c r="E23" s="25" t="n">
        <v>100</v>
      </c>
      <c r="F23" s="25" t="n">
        <v>250</v>
      </c>
      <c r="G23" s="25" t="n">
        <v>581.4</v>
      </c>
      <c r="H23" s="25" t="n">
        <v>973.3589</v>
      </c>
      <c r="I23" s="25" t="n">
        <v>1191.3332</v>
      </c>
      <c r="J23" s="25" t="n">
        <v>1445.9514</v>
      </c>
      <c r="K23" s="25" t="n">
        <v>1600.6812</v>
      </c>
      <c r="L23" s="25" t="n">
        <v>1817.6016</v>
      </c>
      <c r="M23" s="25" t="n">
        <v>1985.6246</v>
      </c>
    </row>
    <row r="24" customFormat="false" ht="15" hidden="false" customHeight="true" outlineLevel="0" collapsed="false">
      <c r="B24" s="96" t="s">
        <v>564</v>
      </c>
      <c r="D24" s="25" t="n">
        <v>0</v>
      </c>
      <c r="E24" s="25" t="n">
        <v>75.81</v>
      </c>
      <c r="F24" s="25" t="n">
        <v>144.946</v>
      </c>
      <c r="G24" s="25" t="n">
        <v>250</v>
      </c>
      <c r="H24" s="25" t="n">
        <v>333.8341</v>
      </c>
      <c r="I24" s="25" t="n">
        <v>427.8533</v>
      </c>
      <c r="J24" s="25" t="n">
        <v>628.391</v>
      </c>
      <c r="K24" s="25" t="n">
        <v>774.4624</v>
      </c>
      <c r="L24" s="25" t="n">
        <v>880.92</v>
      </c>
      <c r="M24" s="25" t="n">
        <v>1036.2572</v>
      </c>
    </row>
    <row r="25" customFormat="false" ht="15" hidden="false" customHeight="true" outlineLevel="0" collapsed="false">
      <c r="B25" s="96" t="s">
        <v>565</v>
      </c>
      <c r="D25" s="25" t="n">
        <v>36.48</v>
      </c>
      <c r="E25" s="25" t="n">
        <v>70.457</v>
      </c>
      <c r="F25" s="25" t="n">
        <v>128.2441</v>
      </c>
      <c r="G25" s="25" t="n">
        <v>226.8793</v>
      </c>
      <c r="H25" s="25" t="n">
        <v>328.7405</v>
      </c>
      <c r="I25" s="25" t="n">
        <v>437.3138</v>
      </c>
      <c r="J25" s="25" t="n">
        <v>537.3031</v>
      </c>
      <c r="K25" s="25" t="n">
        <v>610.4272</v>
      </c>
      <c r="L25" s="25" t="n">
        <v>693.0892</v>
      </c>
      <c r="M25" s="25" t="n">
        <v>756.6753</v>
      </c>
    </row>
    <row r="26" customFormat="false" ht="15" hidden="false" customHeight="true" outlineLevel="0" collapsed="false">
      <c r="B26" s="53" t="s">
        <v>566</v>
      </c>
      <c r="D26" s="55" t="n">
        <f aca="false">SUM(D20:D25)</f>
        <v>477.555</v>
      </c>
      <c r="E26" s="55" t="n">
        <f aca="false">SUM(E20:E25)</f>
        <v>906.1704</v>
      </c>
      <c r="F26" s="55" t="n">
        <f aca="false">SUM(F20:F25)</f>
        <v>1492.8768</v>
      </c>
      <c r="G26" s="55" t="n">
        <f aca="false">SUM(G20:G25)</f>
        <v>2519.1615</v>
      </c>
      <c r="H26" s="55" t="n">
        <f aca="false">SUM(H20:H25)</f>
        <v>3542.3705</v>
      </c>
      <c r="I26" s="55" t="n">
        <f aca="false">SUM(I20:I25)</f>
        <v>4269.5946</v>
      </c>
      <c r="J26" s="55" t="n">
        <f aca="false">SUM(J20:J25)</f>
        <v>5205.0404</v>
      </c>
      <c r="K26" s="55" t="n">
        <f aca="false">SUM(K20:K25)</f>
        <v>5877.4122</v>
      </c>
      <c r="L26" s="55" t="n">
        <f aca="false">SUM(L20:L25)</f>
        <v>6484.5571</v>
      </c>
      <c r="M26" s="55" t="n">
        <f aca="false">SUM(M20:M25)</f>
        <v>7114.2381</v>
      </c>
    </row>
    <row r="28" customFormat="false" ht="21.75" hidden="false" customHeight="true" outlineLevel="0" collapsed="false">
      <c r="B28" s="6" t="s">
        <v>567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customFormat="false" ht="15" hidden="false" customHeight="true" outlineLevel="0" collapsed="false">
      <c r="B29" s="96" t="s">
        <v>568</v>
      </c>
      <c r="D29" s="25" t="n">
        <f aca="false">(D20-D89)</f>
        <v>100</v>
      </c>
      <c r="E29" s="25" t="n">
        <f aca="false">(D29+E20-E89)</f>
        <v>250</v>
      </c>
      <c r="F29" s="25" t="n">
        <f aca="false">(E29+F20-F89)</f>
        <v>412.1003</v>
      </c>
      <c r="G29" s="25" t="n">
        <f aca="false">(F29+G20-G89)</f>
        <v>656.59205</v>
      </c>
      <c r="H29" s="25" t="n">
        <f aca="false">(G29+H20-H89)</f>
        <v>905.278025</v>
      </c>
      <c r="I29" s="25" t="n">
        <f aca="false">(H29+I20-I89)</f>
        <v>1131.2554125</v>
      </c>
      <c r="J29" s="25" t="n">
        <f aca="false">(I29+J20-J89)</f>
        <v>1355.54910625</v>
      </c>
      <c r="K29" s="25" t="n">
        <f aca="false">(J29+K20-K89)</f>
        <v>1548.110153125</v>
      </c>
      <c r="L29" s="25" t="n">
        <f aca="false">(K29+L20-L89)</f>
        <v>1730.2319765625</v>
      </c>
      <c r="M29" s="25" t="n">
        <f aca="false">(L29+M20-M89)</f>
        <v>1876.93078828125</v>
      </c>
    </row>
    <row r="30" customFormat="false" ht="15" hidden="false" customHeight="true" outlineLevel="0" collapsed="false">
      <c r="B30" s="96" t="s">
        <v>569</v>
      </c>
      <c r="D30" s="25" t="n">
        <f aca="false">(D21-D90)</f>
        <v>288.575</v>
      </c>
      <c r="E30" s="25" t="n">
        <f aca="false">(D30+E21-E90)</f>
        <v>530.798</v>
      </c>
      <c r="F30" s="25" t="n">
        <f aca="false">(E30+F21-F90)</f>
        <v>674.2849</v>
      </c>
      <c r="G30" s="25" t="n">
        <f aca="false">(F30+G21-G90)</f>
        <v>861.99435</v>
      </c>
      <c r="H30" s="25" t="n">
        <f aca="false">(G30+H21-H90)</f>
        <v>1076.262575</v>
      </c>
      <c r="I30" s="25" t="n">
        <f aca="false">(H30+I21-I90)</f>
        <v>1193.8025875</v>
      </c>
      <c r="J30" s="25" t="n">
        <f aca="false">(I30+J21-J90)</f>
        <v>1362.14749375</v>
      </c>
      <c r="K30" s="25" t="n">
        <f aca="false">(J30+K21-K90)</f>
        <v>1462.649346875</v>
      </c>
      <c r="L30" s="25" t="n">
        <f aca="false">(K30+L21-L90)</f>
        <v>1520.8622734375</v>
      </c>
      <c r="M30" s="25" t="n">
        <f aca="false">(L30+M21-M90)</f>
        <v>1590.02253671875</v>
      </c>
    </row>
    <row r="31" customFormat="false" ht="15" hidden="false" customHeight="true" outlineLevel="0" collapsed="false">
      <c r="B31" s="96" t="s">
        <v>570</v>
      </c>
      <c r="D31" s="25" t="n">
        <f aca="false">(D22-D91)</f>
        <v>0</v>
      </c>
      <c r="E31" s="25" t="n">
        <f aca="false">(D31+E22-E91)</f>
        <v>73.3929</v>
      </c>
      <c r="F31" s="25" t="n">
        <f aca="false">(E31+F22-F91)</f>
        <v>322.873743</v>
      </c>
      <c r="G31" s="25" t="n">
        <f aca="false">(F31+G22-G91)</f>
        <v>701.81380781</v>
      </c>
      <c r="H31" s="25" t="n">
        <f aca="false">(G31+H22-H91)</f>
        <v>1154.4048512327</v>
      </c>
      <c r="I31" s="25" t="n">
        <f aca="false">(H31+I22-I91)</f>
        <v>1652.25785032591</v>
      </c>
      <c r="J31" s="25" t="n">
        <f aca="false">(I31+J22-J91)</f>
        <v>2145.24005971836</v>
      </c>
      <c r="K31" s="25" t="n">
        <f aca="false">(J31+K22-K91)</f>
        <v>2677.2410400113</v>
      </c>
      <c r="L31" s="25" t="n">
        <f aca="false">(K31+L22-L91)</f>
        <v>3140.98329680757</v>
      </c>
      <c r="M31" s="25" t="n">
        <f aca="false">(L31+M22-M91)</f>
        <v>3598.73360886107</v>
      </c>
    </row>
    <row r="32" customFormat="false" ht="15" hidden="false" customHeight="true" outlineLevel="0" collapsed="false">
      <c r="B32" s="96" t="s">
        <v>571</v>
      </c>
      <c r="D32" s="25" t="n">
        <f aca="false">(D23-D92)</f>
        <v>0</v>
      </c>
      <c r="E32" s="25" t="n">
        <f aca="false">(D32+E23-E92)</f>
        <v>100</v>
      </c>
      <c r="F32" s="25" t="n">
        <f aca="false">(E32+F23-F92)</f>
        <v>317</v>
      </c>
      <c r="G32" s="25" t="n">
        <f aca="false">(F32+G23-G92)</f>
        <v>793.79</v>
      </c>
      <c r="H32" s="25" t="n">
        <f aca="false">(G32+H23-H92)</f>
        <v>1505.1982</v>
      </c>
      <c r="I32" s="25" t="n">
        <f aca="false">(H32+I23-I92)</f>
        <v>2199.815994</v>
      </c>
      <c r="J32" s="25" t="n">
        <f aca="false">(I32+J23-J92)</f>
        <v>2919.82811598</v>
      </c>
      <c r="K32" s="25" t="n">
        <f aca="false">(J32+K23-K92)</f>
        <v>3556.9660377066</v>
      </c>
      <c r="L32" s="25" t="n">
        <f aca="false">(K32+L23-L92)</f>
        <v>4200.76884526342</v>
      </c>
      <c r="M32" s="25" t="n">
        <f aca="false">(L32+M23-M92)</f>
        <v>4800.13972632649</v>
      </c>
    </row>
    <row r="33" customFormat="false" ht="15" hidden="false" customHeight="true" outlineLevel="0" collapsed="false">
      <c r="B33" s="96" t="s">
        <v>572</v>
      </c>
      <c r="D33" s="25" t="n">
        <f aca="false">(D24-D93)</f>
        <v>0</v>
      </c>
      <c r="E33" s="25" t="n">
        <f aca="false">(D33+E24-E93)</f>
        <v>75.81</v>
      </c>
      <c r="F33" s="25" t="n">
        <f aca="false">(E33+F24-F93)</f>
        <v>201.8035</v>
      </c>
      <c r="G33" s="25" t="n">
        <f aca="false">(F33+G24-G93)</f>
        <v>401.352625</v>
      </c>
      <c r="H33" s="25" t="n">
        <f aca="false">(G33+H24-H93)</f>
        <v>634.84856875</v>
      </c>
      <c r="I33" s="25" t="n">
        <f aca="false">(H33+I24-I93)</f>
        <v>903.9897265625</v>
      </c>
      <c r="J33" s="25" t="n">
        <f aca="false">(I33+J24-J93)</f>
        <v>1306.38329492188</v>
      </c>
      <c r="K33" s="25" t="n">
        <f aca="false">(J33+K24-K93)</f>
        <v>1754.24987119141</v>
      </c>
      <c r="L33" s="25" t="n">
        <f aca="false">(K33+L24-L93)</f>
        <v>2196.60740339355</v>
      </c>
      <c r="M33" s="25" t="n">
        <f aca="false">(L33+M24-M93)</f>
        <v>2683.71275254517</v>
      </c>
    </row>
    <row r="34" customFormat="false" ht="15" hidden="false" customHeight="true" outlineLevel="0" collapsed="false">
      <c r="B34" s="96" t="s">
        <v>573</v>
      </c>
      <c r="D34" s="25" t="n">
        <f aca="false">(D25-D94)</f>
        <v>36.48</v>
      </c>
      <c r="E34" s="25" t="n">
        <f aca="false">(D34+E25-E94)</f>
        <v>97.817</v>
      </c>
      <c r="F34" s="25" t="n">
        <f aca="false">(E34+F25-F94)</f>
        <v>201.60685</v>
      </c>
      <c r="G34" s="25" t="n">
        <f aca="false">(F34+G25-G94)</f>
        <v>378.0844375</v>
      </c>
      <c r="H34" s="25" t="n">
        <f aca="false">(G34+H25-H94)</f>
        <v>612.303828125</v>
      </c>
      <c r="I34" s="25" t="n">
        <f aca="false">(H34+I25-I94)</f>
        <v>896.54167109375</v>
      </c>
      <c r="J34" s="25" t="n">
        <f aca="false">(I34+J25-J94)</f>
        <v>1209.70935332031</v>
      </c>
      <c r="K34" s="25" t="n">
        <f aca="false">(J34+K25-K94)</f>
        <v>1517.70921499023</v>
      </c>
      <c r="L34" s="25" t="n">
        <f aca="false">(K34+L25-L94)</f>
        <v>1831.37111124268</v>
      </c>
      <c r="M34" s="25" t="n">
        <f aca="false">(L34+M25-M94)</f>
        <v>2130.20363343201</v>
      </c>
    </row>
    <row r="35" customFormat="false" ht="15" hidden="false" customHeight="true" outlineLevel="0" collapsed="false">
      <c r="B35" s="53" t="s">
        <v>574</v>
      </c>
      <c r="D35" s="55" t="n">
        <f aca="false">SUM(D29:D34)</f>
        <v>425.055</v>
      </c>
      <c r="E35" s="55" t="n">
        <f aca="false">SUM(E29:E34)</f>
        <v>1127.8179</v>
      </c>
      <c r="F35" s="55" t="n">
        <f aca="false">SUM(F29:F34)</f>
        <v>2129.669293</v>
      </c>
      <c r="G35" s="55" t="n">
        <f aca="false">SUM(G29:G34)</f>
        <v>3793.62727031</v>
      </c>
      <c r="H35" s="55" t="n">
        <f aca="false">SUM(H29:H34)</f>
        <v>5888.2960481077</v>
      </c>
      <c r="I35" s="55" t="n">
        <f aca="false">SUM(I29:I34)</f>
        <v>7977.66324198216</v>
      </c>
      <c r="J35" s="55" t="n">
        <f aca="false">SUM(J29:J34)</f>
        <v>10298.8574239405</v>
      </c>
      <c r="K35" s="55" t="n">
        <f aca="false">SUM(K29:K34)</f>
        <v>12516.9256638995</v>
      </c>
      <c r="L35" s="55" t="n">
        <f aca="false">SUM(L29:L34)</f>
        <v>14620.8249067072</v>
      </c>
      <c r="M35" s="55" t="n">
        <f aca="false">SUM(M29:M34)</f>
        <v>16679.7430461647</v>
      </c>
    </row>
    <row r="37" customFormat="false" ht="21.75" hidden="false" customHeight="true" outlineLevel="0" collapsed="false">
      <c r="B37" s="6" t="s">
        <v>575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</row>
    <row r="38" customFormat="false" ht="15" hidden="false" customHeight="true" outlineLevel="0" collapsed="false">
      <c r="B38" s="22" t="s">
        <v>576</v>
      </c>
      <c r="D38" s="27" t="n">
        <f aca="false">IFERROR(D26/Revenue!D12,0)</f>
        <v>9.09628571428572</v>
      </c>
      <c r="E38" s="27" t="n">
        <f aca="false">IFERROR(E26/Revenue!E12,0)</f>
        <v>4.45495077615132</v>
      </c>
      <c r="F38" s="27" t="n">
        <f aca="false">IFERROR(F26/Revenue!F12,0)</f>
        <v>3.04032495817472</v>
      </c>
      <c r="G38" s="27" t="n">
        <f aca="false">IFERROR(G26/Revenue!G12,0)</f>
        <v>2.94568653327819</v>
      </c>
      <c r="H38" s="27" t="n">
        <f aca="false">IFERROR(H26/Revenue!H12,0)</f>
        <v>2.4468925094675</v>
      </c>
      <c r="I38" s="27" t="n">
        <f aca="false">IFERROR(I26/Revenue!I12,0)</f>
        <v>1.9583253508346</v>
      </c>
      <c r="J38" s="27" t="n">
        <f aca="false">IFERROR(J26/Revenue!J12,0)</f>
        <v>1.80489527057191</v>
      </c>
      <c r="K38" s="27" t="n">
        <f aca="false">IFERROR(K26/Revenue!K12,0)</f>
        <v>1.60613822154454</v>
      </c>
      <c r="L38" s="27" t="n">
        <f aca="false">IFERROR(L26/Revenue!L12,0)</f>
        <v>1.48027015836296</v>
      </c>
      <c r="M38" s="27" t="n">
        <f aca="false">IFERROR(M26/Revenue!M12,0)</f>
        <v>1.40727751270497</v>
      </c>
    </row>
    <row r="39" customFormat="false" ht="15" hidden="false" customHeight="true" outlineLevel="0" collapsed="false">
      <c r="B39" s="22" t="s">
        <v>577</v>
      </c>
      <c r="D39" s="111" t="n">
        <f aca="false">IFERROR(D35/Revenue!D12*12,0)</f>
        <v>97.1554285714286</v>
      </c>
      <c r="E39" s="111" t="n">
        <f aca="false">IFERROR(E35/Revenue!E12*12,0)</f>
        <v>66.5354758305372</v>
      </c>
      <c r="F39" s="111" t="n">
        <f aca="false">IFERROR(F35/Revenue!F12*12,0)</f>
        <v>52.0462508694586</v>
      </c>
      <c r="G39" s="111" t="n">
        <f aca="false">IFERROR(G35/Revenue!G12*12,0)</f>
        <v>53.2312204474182</v>
      </c>
      <c r="H39" s="111" t="n">
        <f aca="false">IFERROR(H35/Revenue!H12*12,0)</f>
        <v>48.8080876700225</v>
      </c>
      <c r="I39" s="111" t="n">
        <f aca="false">IFERROR(I35/Revenue!I12*12,0)</f>
        <v>43.9091622437268</v>
      </c>
      <c r="J39" s="111" t="n">
        <f aca="false">IFERROR(J35/Revenue!J12*12,0)</f>
        <v>42.8546738429113</v>
      </c>
      <c r="K39" s="111" t="n">
        <f aca="false">IFERROR(K35/Revenue!K12*12,0)</f>
        <v>41.0464579462794</v>
      </c>
      <c r="L39" s="111" t="n">
        <f aca="false">IFERROR(L35/Revenue!L12*12,0)</f>
        <v>40.0510390448382</v>
      </c>
      <c r="M39" s="111" t="n">
        <f aca="false">IFERROR(M35/Revenue!M12*12,0)</f>
        <v>39.5933230965065</v>
      </c>
    </row>
    <row r="40" customFormat="false" ht="15" hidden="false" customHeight="true" outlineLevel="0" collapsed="false">
      <c r="B40" s="22" t="s">
        <v>578</v>
      </c>
      <c r="D40" s="24" t="n">
        <f aca="false">0</f>
        <v>0</v>
      </c>
      <c r="E40" s="24" t="n">
        <f aca="false">IFERROR(E35/D35-1,0)</f>
        <v>1.65334580230794</v>
      </c>
      <c r="F40" s="24" t="n">
        <f aca="false">IFERROR(F35/E35-1,0)</f>
        <v>0.888309533835205</v>
      </c>
      <c r="G40" s="24" t="n">
        <f aca="false">IFERROR(G35/F35-1,0)</f>
        <v>0.781322237578978</v>
      </c>
      <c r="H40" s="24" t="n">
        <f aca="false">IFERROR(H35/G35-1,0)</f>
        <v>0.55215460785807</v>
      </c>
      <c r="I40" s="24" t="n">
        <f aca="false">IFERROR(I35/H35-1,0)</f>
        <v>0.354833924246372</v>
      </c>
      <c r="J40" s="24" t="n">
        <f aca="false">IFERROR(J35/I35-1,0)</f>
        <v>0.290961665283537</v>
      </c>
      <c r="K40" s="24" t="n">
        <f aca="false">IFERROR(K35/J35-1,0)</f>
        <v>0.215370322032317</v>
      </c>
      <c r="L40" s="24" t="n">
        <f aca="false">IFERROR(L35/K35-1,0)</f>
        <v>0.168084344295149</v>
      </c>
      <c r="M40" s="24" t="n">
        <f aca="false">IFERROR(M35/L35-1,0)</f>
        <v>0.140820928545078</v>
      </c>
    </row>
    <row r="42" customFormat="false" ht="21.75" hidden="false" customHeight="true" outlineLevel="0" collapsed="false">
      <c r="B42" s="6" t="s">
        <v>579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 customFormat="false" ht="15" hidden="false" customHeight="true" outlineLevel="0" collapsed="false">
      <c r="B43" s="96" t="s">
        <v>580</v>
      </c>
      <c r="D43" s="25" t="n">
        <f aca="false">IF(Revenue!D6=0,0,D20/Revenue!D6)</f>
        <v>0</v>
      </c>
      <c r="E43" s="25" t="n">
        <f aca="false">IF(Revenue!E6=0,0,E20/Revenue!E6)</f>
        <v>4</v>
      </c>
      <c r="F43" s="25" t="n">
        <f aca="false">IF(Revenue!F6=0,0,F20/Revenue!F6)</f>
        <v>2.2968024</v>
      </c>
      <c r="G43" s="25" t="n">
        <f aca="false">IF(Revenue!G6=0,0,G20/Revenue!G6)</f>
        <v>2.18656429029535</v>
      </c>
      <c r="H43" s="25" t="n">
        <f aca="false">IF(Revenue!H6=0,0,H20/Revenue!H6)</f>
        <v>1.75750528810088</v>
      </c>
      <c r="I43" s="25" t="n">
        <f aca="false">IF(Revenue!I6=0,0,I20/Revenue!I6)</f>
        <v>1.49924416866299</v>
      </c>
      <c r="J43" s="25" t="n">
        <f aca="false">IF(Revenue!J6=0,0,J20/Revenue!J6)</f>
        <v>1.39653943976158</v>
      </c>
      <c r="K43" s="25" t="n">
        <f aca="false">IF(Revenue!K6=0,0,K20/Revenue!K6)</f>
        <v>1.28410781429778</v>
      </c>
      <c r="L43" s="25" t="n">
        <f aca="false">IF(Revenue!L6=0,0,L20/Revenue!L6)</f>
        <v>1.23528277115149</v>
      </c>
      <c r="M43" s="25" t="n">
        <f aca="false">IF(Revenue!M6=0,0,M20/Revenue!M6)</f>
        <v>1.16957126409165</v>
      </c>
    </row>
    <row r="44" customFormat="false" ht="15" hidden="false" customHeight="true" outlineLevel="0" collapsed="false">
      <c r="B44" s="96" t="s">
        <v>581</v>
      </c>
      <c r="D44" s="25" t="n">
        <f aca="false">IF(Revenue!D7=0,0,D21/Revenue!D7)</f>
        <v>6.49666666666667</v>
      </c>
      <c r="E44" s="25" t="n">
        <f aca="false">IF(Revenue!E7=0,0,E21/Revenue!E7)</f>
        <v>2.678752490687</v>
      </c>
      <c r="F44" s="25" t="n">
        <f aca="false">IF(Revenue!F7=0,0,F21/Revenue!F7)</f>
        <v>1.54064597078361</v>
      </c>
      <c r="G44" s="25" t="n">
        <f aca="false">IF(Revenue!G7=0,0,G21/Revenue!G7)</f>
        <v>1.55676599016232</v>
      </c>
      <c r="H44" s="25" t="n">
        <f aca="false">IF(Revenue!H7=0,0,H21/Revenue!H7)</f>
        <v>1.49714531191533</v>
      </c>
      <c r="I44" s="25" t="n">
        <f aca="false">IF(Revenue!I7=0,0,I21/Revenue!I7)</f>
        <v>1.21842255826837</v>
      </c>
      <c r="J44" s="25" t="n">
        <f aca="false">IF(Revenue!J7=0,0,J21/Revenue!J7)</f>
        <v>1.28203139784198</v>
      </c>
      <c r="K44" s="25" t="n">
        <f aca="false">IF(Revenue!K7=0,0,K21/Revenue!K7)</f>
        <v>1.14756383370544</v>
      </c>
      <c r="L44" s="25" t="n">
        <f aca="false">IF(Revenue!L7=0,0,L21/Revenue!L7)</f>
        <v>1.07959929245772</v>
      </c>
      <c r="M44" s="25" t="n">
        <f aca="false">IF(Revenue!M7=0,0,M21/Revenue!M7)</f>
        <v>1.0909487525454</v>
      </c>
    </row>
    <row r="45" customFormat="false" ht="15" hidden="false" customHeight="true" outlineLevel="0" collapsed="false">
      <c r="B45" s="96" t="s">
        <v>582</v>
      </c>
      <c r="D45" s="25" t="n">
        <f aca="false">IF(Revenue!D8=0,0,D22/Revenue!D8)</f>
        <v>0</v>
      </c>
      <c r="E45" s="25" t="n">
        <f aca="false">IF(Revenue!E8=0,0,E22/Revenue!E8)</f>
        <v>0</v>
      </c>
      <c r="F45" s="25" t="n">
        <f aca="false">IF(Revenue!F8=0,0,F22/Revenue!F8)</f>
        <v>11.3007587184245</v>
      </c>
      <c r="G45" s="25" t="n">
        <f aca="false">IF(Revenue!G8=0,0,G22/Revenue!G8)</f>
        <v>4.556508547358</v>
      </c>
      <c r="H45" s="25" t="n">
        <f aca="false">IF(Revenue!H8=0,0,H22/Revenue!H8)</f>
        <v>2.95420494026974</v>
      </c>
      <c r="I45" s="25" t="n">
        <f aca="false">IF(Revenue!I8=0,0,I22/Revenue!I8)</f>
        <v>2.30685993755712</v>
      </c>
      <c r="J45" s="25" t="n">
        <f aca="false">IF(Revenue!J8=0,0,J22/Revenue!J8)</f>
        <v>1.90414791051697</v>
      </c>
      <c r="K45" s="25" t="n">
        <f aca="false">IF(Revenue!K8=0,0,K22/Revenue!K8)</f>
        <v>1.75148894194971</v>
      </c>
      <c r="L45" s="25" t="n">
        <f aca="false">IF(Revenue!L8=0,0,L22/Revenue!L8)</f>
        <v>1.52489841035881</v>
      </c>
      <c r="M45" s="25" t="n">
        <f aca="false">IF(Revenue!M8=0,0,M22/Revenue!M8)</f>
        <v>1.44162035473023</v>
      </c>
    </row>
    <row r="46" customFormat="false" ht="15" hidden="false" customHeight="true" outlineLevel="0" collapsed="false">
      <c r="B46" s="96" t="s">
        <v>202</v>
      </c>
      <c r="D46" s="25" t="n">
        <f aca="false">IF(Revenue!D9=0,0,D23/Revenue!D9)</f>
        <v>0</v>
      </c>
      <c r="E46" s="25" t="n">
        <f aca="false">IF(Revenue!E9=0,0,E23/Revenue!E9)</f>
        <v>0</v>
      </c>
      <c r="F46" s="25" t="n">
        <f aca="false">IF(Revenue!F9=0,0,F23/Revenue!F9)</f>
        <v>7.57575757575758</v>
      </c>
      <c r="G46" s="25" t="n">
        <f aca="false">IF(Revenue!G9=0,0,G23/Revenue!G9)</f>
        <v>5.55778606251792</v>
      </c>
      <c r="H46" s="25" t="n">
        <f aca="false">IF(Revenue!H9=0,0,H23/Revenue!H9)</f>
        <v>3.71580950155888</v>
      </c>
      <c r="I46" s="25" t="n">
        <f aca="false">IF(Revenue!I9=0,0,I23/Revenue!I9)</f>
        <v>2.39842208558355</v>
      </c>
      <c r="J46" s="25" t="n">
        <f aca="false">IF(Revenue!J9=0,0,J23/Revenue!J9)</f>
        <v>1.99183519032588</v>
      </c>
      <c r="K46" s="25" t="n">
        <f aca="false">IF(Revenue!K9=0,0,K23/Revenue!K9)</f>
        <v>1.66124473710024</v>
      </c>
      <c r="L46" s="25" t="n">
        <f aca="false">IF(Revenue!L9=0,0,L23/Revenue!L9)</f>
        <v>1.54847799444127</v>
      </c>
      <c r="M46" s="25" t="n">
        <f aca="false">IF(Revenue!M9=0,0,M23/Revenue!M9)</f>
        <v>1.43236737465542</v>
      </c>
    </row>
    <row r="47" customFormat="false" ht="15" hidden="false" customHeight="true" outlineLevel="0" collapsed="false">
      <c r="B47" s="96" t="s">
        <v>583</v>
      </c>
      <c r="D47" s="25" t="n">
        <f aca="false">IF(Revenue!D10=0,0,D24/Revenue!D10)</f>
        <v>0</v>
      </c>
      <c r="E47" s="25" t="n">
        <f aca="false">IF(Revenue!E10=0,0,E24/Revenue!E10)</f>
        <v>0</v>
      </c>
      <c r="F47" s="25" t="n">
        <f aca="false">IF(Revenue!F10=0,0,F24/Revenue!F10)</f>
        <v>7.64785648331355</v>
      </c>
      <c r="G47" s="25" t="n">
        <f aca="false">IF(Revenue!G10=0,0,G24/Revenue!G10)</f>
        <v>4.95531544299281</v>
      </c>
      <c r="H47" s="25" t="n">
        <f aca="false">IF(Revenue!H10=0,0,H24/Revenue!H10)</f>
        <v>3.3270902364224</v>
      </c>
      <c r="I47" s="25" t="n">
        <f aca="false">IF(Revenue!I10=0,0,I24/Revenue!I10)</f>
        <v>2.69578177260402</v>
      </c>
      <c r="J47" s="25" t="n">
        <f aca="false">IF(Revenue!J10=0,0,J24/Revenue!J10)</f>
        <v>2.78052274947642</v>
      </c>
      <c r="K47" s="25" t="n">
        <f aca="false">IF(Revenue!K10=0,0,K24/Revenue!K10)</f>
        <v>2.37131752376339</v>
      </c>
      <c r="L47" s="25" t="n">
        <f aca="false">IF(Revenue!L10=0,0,L24/Revenue!L10)</f>
        <v>2.00865341811704</v>
      </c>
      <c r="M47" s="25" t="n">
        <f aca="false">IF(Revenue!M10=0,0,M24/Revenue!M10)</f>
        <v>1.88701394413782</v>
      </c>
    </row>
    <row r="48" customFormat="false" ht="15" hidden="false" customHeight="true" outlineLevel="0" collapsed="false">
      <c r="B48" s="96" t="s">
        <v>193</v>
      </c>
      <c r="D48" s="25" t="n">
        <f aca="false">IF(Revenue!D11=0,0,D25/Revenue!D11)</f>
        <v>0</v>
      </c>
      <c r="E48" s="25" t="n">
        <f aca="false">IF(Revenue!E11=0,0,E25/Revenue!E11)</f>
        <v>7.72554824561404</v>
      </c>
      <c r="F48" s="25" t="n">
        <f aca="false">IF(Revenue!F11=0,0,F25/Revenue!F11)</f>
        <v>5.24424588772913</v>
      </c>
      <c r="G48" s="25" t="n">
        <f aca="false">IF(Revenue!G11=0,0,G25/Revenue!G11)</f>
        <v>4.50142046264797</v>
      </c>
      <c r="H48" s="25" t="n">
        <f aca="false">IF(Revenue!H11=0,0,H25/Revenue!H11)</f>
        <v>3.47795854464388</v>
      </c>
      <c r="I48" s="25" t="n">
        <f aca="false">IF(Revenue!I11=0,0,I25/Revenue!I11)</f>
        <v>2.85684184819909</v>
      </c>
      <c r="J48" s="25" t="n">
        <f aca="false">IF(Revenue!J11=0,0,J25/Revenue!J11)</f>
        <v>2.39722532626736</v>
      </c>
      <c r="K48" s="25" t="n">
        <f aca="false">IF(Revenue!K11=0,0,K25/Revenue!K11)</f>
        <v>2.01842599075406</v>
      </c>
      <c r="L48" s="25" t="n">
        <f aca="false">IF(Revenue!L11=0,0,L25/Revenue!L11)</f>
        <v>1.82667191621278</v>
      </c>
      <c r="M48" s="25" t="n">
        <f aca="false">IF(Revenue!M11=0,0,M25/Revenue!M11)</f>
        <v>1.65269681356185</v>
      </c>
    </row>
    <row r="49" customFormat="false" ht="15" hidden="false" customHeight="true" outlineLevel="0" collapsed="false">
      <c r="B49" s="53" t="s">
        <v>584</v>
      </c>
      <c r="D49" s="55" t="n">
        <f aca="false">IFERROR(SUM(D20:D25)/SUM(Revenue!D6:D11),0)</f>
        <v>9.09628571428572</v>
      </c>
      <c r="E49" s="55" t="n">
        <f aca="false">IFERROR(SUM(E20:E25)/SUM(Revenue!E6:E11),0)</f>
        <v>4.45495077615132</v>
      </c>
      <c r="F49" s="55" t="n">
        <f aca="false">IFERROR(SUM(F20:F25)/SUM(Revenue!F6:F11),0)</f>
        <v>3.04032495817472</v>
      </c>
      <c r="G49" s="55" t="n">
        <f aca="false">IFERROR(SUM(G20:G25)/SUM(Revenue!G6:G11),0)</f>
        <v>2.94568653327819</v>
      </c>
      <c r="H49" s="55" t="n">
        <f aca="false">IFERROR(SUM(H20:H25)/SUM(Revenue!H6:H11),0)</f>
        <v>2.4468925094675</v>
      </c>
      <c r="I49" s="55" t="n">
        <f aca="false">IFERROR(SUM(I20:I25)/SUM(Revenue!I6:I11),0)</f>
        <v>1.9583253508346</v>
      </c>
      <c r="J49" s="55" t="n">
        <f aca="false">IFERROR(SUM(J20:J25)/SUM(Revenue!J6:J11),0)</f>
        <v>1.80489527057191</v>
      </c>
      <c r="K49" s="55" t="n">
        <f aca="false">IFERROR(SUM(K20:K25)/SUM(Revenue!K6:K11),0)</f>
        <v>1.60613822154454</v>
      </c>
      <c r="L49" s="55" t="n">
        <f aca="false">IFERROR(SUM(L20:L25)/SUM(Revenue!L6:L11),0)</f>
        <v>1.48027015836296</v>
      </c>
      <c r="M49" s="55" t="n">
        <f aca="false">IFERROR(SUM(M20:M25)/SUM(Revenue!M6:M11),0)</f>
        <v>1.40727751270497</v>
      </c>
    </row>
    <row r="51" customFormat="false" ht="21.75" hidden="false" customHeight="true" outlineLevel="0" collapsed="false">
      <c r="B51" s="6" t="s">
        <v>585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</row>
    <row r="52" customFormat="false" ht="15" hidden="false" customHeight="true" outlineLevel="0" collapsed="false">
      <c r="B52" s="96" t="s">
        <v>586</v>
      </c>
      <c r="D52" s="25" t="n">
        <f aca="false">Assumptions!$C$22*D26</f>
        <v>71.63325</v>
      </c>
      <c r="E52" s="25" t="n">
        <f aca="false">Assumptions!$C$22*E26</f>
        <v>135.92556</v>
      </c>
      <c r="F52" s="25" t="n">
        <f aca="false">Assumptions!$C$22*F26</f>
        <v>223.93152</v>
      </c>
      <c r="G52" s="25" t="n">
        <f aca="false">Assumptions!$C$22*G26</f>
        <v>377.874225</v>
      </c>
      <c r="H52" s="25" t="n">
        <f aca="false">Assumptions!$C$22*H26</f>
        <v>531.355575</v>
      </c>
      <c r="I52" s="25" t="n">
        <f aca="false">Assumptions!$C$22*I26</f>
        <v>640.43919</v>
      </c>
      <c r="J52" s="25" t="n">
        <f aca="false">Assumptions!$C$22*J26</f>
        <v>780.75606</v>
      </c>
      <c r="K52" s="25" t="n">
        <f aca="false">Assumptions!$C$22*K26</f>
        <v>881.61183</v>
      </c>
      <c r="L52" s="25" t="n">
        <f aca="false">Assumptions!$C$22*L26</f>
        <v>972.683565</v>
      </c>
      <c r="M52" s="25" t="n">
        <f aca="false">Assumptions!$C$22*M26</f>
        <v>1067.135715</v>
      </c>
    </row>
    <row r="53" customFormat="false" ht="15" hidden="false" customHeight="true" outlineLevel="0" collapsed="false">
      <c r="B53" s="99" t="s">
        <v>587</v>
      </c>
      <c r="D53" s="25" t="n">
        <f aca="false">Revenue!D12</f>
        <v>52.5</v>
      </c>
      <c r="E53" s="25" t="n">
        <f aca="false">Revenue!E12</f>
        <v>203.4075</v>
      </c>
      <c r="F53" s="25" t="n">
        <f aca="false">Revenue!F12</f>
        <v>491.025407</v>
      </c>
      <c r="G53" s="25" t="n">
        <f aca="false">Revenue!G12</f>
        <v>855.20352269</v>
      </c>
      <c r="H53" s="25" t="n">
        <f aca="false">Revenue!H12</f>
        <v>1447.7017222023</v>
      </c>
      <c r="I53" s="25" t="n">
        <f aca="false">Revenue!I12</f>
        <v>2180.22740612554</v>
      </c>
      <c r="J53" s="25" t="n">
        <f aca="false">Revenue!J12</f>
        <v>2883.84621804161</v>
      </c>
      <c r="K53" s="25" t="n">
        <f aca="false">Revenue!K12</f>
        <v>3659.34396004101</v>
      </c>
      <c r="L53" s="25" t="n">
        <f aca="false">Revenue!L12</f>
        <v>4380.65785719232</v>
      </c>
      <c r="M53" s="25" t="n">
        <f aca="false">Revenue!M12</f>
        <v>5055.31996054249</v>
      </c>
    </row>
    <row r="54" customFormat="false" ht="15" hidden="false" customHeight="true" outlineLevel="0" collapsed="false">
      <c r="B54" s="96" t="s">
        <v>588</v>
      </c>
      <c r="D54" s="25" t="n">
        <f aca="false">0</f>
        <v>0</v>
      </c>
      <c r="E54" s="25" t="n">
        <f aca="false">D56</f>
        <v>63.75825</v>
      </c>
      <c r="F54" s="25" t="n">
        <f aca="false">E56</f>
        <v>169.172685</v>
      </c>
      <c r="G54" s="25" t="n">
        <f aca="false">F56</f>
        <v>319.45039395</v>
      </c>
      <c r="H54" s="25" t="n">
        <f aca="false">G56</f>
        <v>569.0440905465</v>
      </c>
      <c r="I54" s="25" t="n">
        <f aca="false">H56</f>
        <v>883.244407216155</v>
      </c>
      <c r="J54" s="25" t="n">
        <f aca="false">I56</f>
        <v>1196.64948629732</v>
      </c>
      <c r="K54" s="25" t="n">
        <f aca="false">J56</f>
        <v>1544.82861359108</v>
      </c>
      <c r="L54" s="25" t="n">
        <f aca="false">K56</f>
        <v>1877.53884958493</v>
      </c>
      <c r="M54" s="25" t="n">
        <f aca="false">L56</f>
        <v>2193.12373600608</v>
      </c>
    </row>
    <row r="55" customFormat="false" ht="15" hidden="false" customHeight="true" outlineLevel="0" collapsed="false">
      <c r="B55" s="96" t="s">
        <v>589</v>
      </c>
      <c r="D55" s="25" t="n">
        <f aca="false">MIN(D54+D52,D53*Assumptions!$C$22)</f>
        <v>7.875</v>
      </c>
      <c r="E55" s="25" t="n">
        <f aca="false">MIN(E54+E52,E53*Assumptions!$C$22)</f>
        <v>30.511125</v>
      </c>
      <c r="F55" s="25" t="n">
        <f aca="false">MIN(F54+F52,F53*Assumptions!$C$22)</f>
        <v>73.65381105</v>
      </c>
      <c r="G55" s="25" t="n">
        <f aca="false">MIN(G54+G52,G53*Assumptions!$C$22)</f>
        <v>128.2805284035</v>
      </c>
      <c r="H55" s="25" t="n">
        <f aca="false">MIN(H54+H52,H53*Assumptions!$C$22)</f>
        <v>217.155258330345</v>
      </c>
      <c r="I55" s="25" t="n">
        <f aca="false">MIN(I54+I52,I53*Assumptions!$C$22)</f>
        <v>327.034110918831</v>
      </c>
      <c r="J55" s="25" t="n">
        <f aca="false">MIN(J54+J52,J53*Assumptions!$C$22)</f>
        <v>432.576932706242</v>
      </c>
      <c r="K55" s="25" t="n">
        <f aca="false">MIN(K54+K52,K53*Assumptions!$C$22)</f>
        <v>548.901594006151</v>
      </c>
      <c r="L55" s="25" t="n">
        <f aca="false">MIN(L54+L52,L53*Assumptions!$C$22)</f>
        <v>657.098678578848</v>
      </c>
      <c r="M55" s="25" t="n">
        <f aca="false">MIN(M54+M52,M53*Assumptions!$C$22)</f>
        <v>758.297994081373</v>
      </c>
    </row>
    <row r="56" customFormat="false" ht="15" hidden="false" customHeight="true" outlineLevel="0" collapsed="false">
      <c r="B56" s="53" t="s">
        <v>590</v>
      </c>
      <c r="D56" s="55" t="n">
        <f aca="false">MAX(0,D54+D52-D55)</f>
        <v>63.75825</v>
      </c>
      <c r="E56" s="55" t="n">
        <f aca="false">MAX(0,E54+E52-E55)</f>
        <v>169.172685</v>
      </c>
      <c r="F56" s="55" t="n">
        <f aca="false">MAX(0,F54+F52-F55)</f>
        <v>319.45039395</v>
      </c>
      <c r="G56" s="55" t="n">
        <f aca="false">MAX(0,G54+G52-G55)</f>
        <v>569.0440905465</v>
      </c>
      <c r="H56" s="55" t="n">
        <f aca="false">MAX(0,H54+H52-H55)</f>
        <v>883.244407216155</v>
      </c>
      <c r="I56" s="55" t="n">
        <f aca="false">MAX(0,I54+I52-I55)</f>
        <v>1196.64948629732</v>
      </c>
      <c r="J56" s="55" t="n">
        <f aca="false">MAX(0,J54+J52-J55)</f>
        <v>1544.82861359108</v>
      </c>
      <c r="K56" s="55" t="n">
        <f aca="false">MAX(0,K54+K52-K55)</f>
        <v>1877.53884958493</v>
      </c>
      <c r="L56" s="55" t="n">
        <f aca="false">MAX(0,L54+L52-L55)</f>
        <v>2193.12373600608</v>
      </c>
      <c r="M56" s="55" t="n">
        <f aca="false">MAX(0,M54+M52-M55)</f>
        <v>2501.96145692471</v>
      </c>
    </row>
    <row r="57" customFormat="false" ht="23.25" hidden="false" customHeight="true" outlineLevel="0" collapsed="false">
      <c r="B57" s="99" t="s">
        <v>591</v>
      </c>
      <c r="D57" s="25" t="n">
        <f aca="false">D52-D55</f>
        <v>63.75825</v>
      </c>
      <c r="E57" s="25" t="n">
        <f aca="false">E52-E55</f>
        <v>105.414435</v>
      </c>
      <c r="F57" s="25" t="n">
        <f aca="false">F52-F55</f>
        <v>150.27770895</v>
      </c>
      <c r="G57" s="25" t="n">
        <f aca="false">G52-G55</f>
        <v>249.5936965965</v>
      </c>
      <c r="H57" s="25" t="n">
        <f aca="false">H52-H55</f>
        <v>314.200316669655</v>
      </c>
      <c r="I57" s="25" t="n">
        <f aca="false">I52-I55</f>
        <v>313.405079081169</v>
      </c>
      <c r="J57" s="25" t="n">
        <f aca="false">J52-J55</f>
        <v>348.179127293758</v>
      </c>
      <c r="K57" s="25" t="n">
        <f aca="false">K52-K55</f>
        <v>332.710235993849</v>
      </c>
      <c r="L57" s="25" t="n">
        <f aca="false">L52-L55</f>
        <v>315.584886421152</v>
      </c>
      <c r="M57" s="25" t="n">
        <f aca="false">M52-M55</f>
        <v>308.837720918627</v>
      </c>
    </row>
    <row r="59" customFormat="false" ht="21.75" hidden="false" customHeight="true" outlineLevel="0" collapsed="false">
      <c r="B59" s="6" t="s">
        <v>592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</row>
    <row r="60" customFormat="false" ht="23.25" hidden="false" customHeight="true" outlineLevel="0" collapsed="false">
      <c r="B60" s="96" t="s">
        <v>593</v>
      </c>
      <c r="D60" s="25" t="n">
        <f aca="false">D56</f>
        <v>63.75825</v>
      </c>
      <c r="E60" s="25" t="n">
        <f aca="false">E56</f>
        <v>169.172685</v>
      </c>
      <c r="F60" s="25" t="n">
        <f aca="false">F56</f>
        <v>319.45039395</v>
      </c>
      <c r="G60" s="25" t="n">
        <f aca="false">G56</f>
        <v>569.0440905465</v>
      </c>
      <c r="H60" s="25" t="n">
        <f aca="false">H56</f>
        <v>883.244407216155</v>
      </c>
      <c r="I60" s="25" t="n">
        <f aca="false">I56</f>
        <v>1196.64948629732</v>
      </c>
      <c r="J60" s="25" t="n">
        <f aca="false">J56</f>
        <v>1544.82861359108</v>
      </c>
      <c r="K60" s="25" t="n">
        <f aca="false">K56</f>
        <v>1877.53884958493</v>
      </c>
      <c r="L60" s="25" t="n">
        <f aca="false">L56</f>
        <v>2193.12373600608</v>
      </c>
      <c r="M60" s="25" t="n">
        <f aca="false">M56</f>
        <v>2501.96145692471</v>
      </c>
    </row>
    <row r="61" customFormat="false" ht="23.25" hidden="false" customHeight="true" outlineLevel="0" collapsed="false">
      <c r="B61" s="96" t="s">
        <v>594</v>
      </c>
      <c r="D61" s="25" t="n">
        <f aca="false">Assumptions!$C$21*D35</f>
        <v>12.75165</v>
      </c>
      <c r="E61" s="25" t="n">
        <f aca="false">Assumptions!$C$21*E35</f>
        <v>33.834537</v>
      </c>
      <c r="F61" s="25" t="n">
        <f aca="false">Assumptions!$C$21*F35</f>
        <v>63.89007879</v>
      </c>
      <c r="G61" s="25" t="n">
        <f aca="false">Assumptions!$C$21*G35</f>
        <v>113.8088181093</v>
      </c>
      <c r="H61" s="25" t="n">
        <f aca="false">Assumptions!$C$21*H35</f>
        <v>176.648881443231</v>
      </c>
      <c r="I61" s="25" t="n">
        <f aca="false">Assumptions!$C$21*I35</f>
        <v>239.329897259465</v>
      </c>
      <c r="J61" s="25" t="n">
        <f aca="false">Assumptions!$C$21*J35</f>
        <v>308.965722718216</v>
      </c>
      <c r="K61" s="25" t="n">
        <f aca="false">Assumptions!$C$21*K35</f>
        <v>375.507769916986</v>
      </c>
      <c r="L61" s="25" t="n">
        <f aca="false">Assumptions!$C$21*L35</f>
        <v>438.624747201217</v>
      </c>
      <c r="M61" s="25" t="n">
        <f aca="false">Assumptions!$C$21*M35</f>
        <v>500.392291384942</v>
      </c>
    </row>
    <row r="62" customFormat="false" ht="15" hidden="false" customHeight="true" outlineLevel="0" collapsed="false">
      <c r="B62" s="53" t="s">
        <v>595</v>
      </c>
      <c r="D62" s="55" t="n">
        <f aca="false">D60+D61</f>
        <v>76.5099</v>
      </c>
      <c r="E62" s="55" t="n">
        <f aca="false">E60+E61</f>
        <v>203.007222</v>
      </c>
      <c r="F62" s="55" t="n">
        <f aca="false">F60+F61</f>
        <v>383.34047274</v>
      </c>
      <c r="G62" s="55" t="n">
        <f aca="false">G60+G61</f>
        <v>682.8529086558</v>
      </c>
      <c r="H62" s="55" t="n">
        <f aca="false">H60+H61</f>
        <v>1059.89328865939</v>
      </c>
      <c r="I62" s="55" t="n">
        <f aca="false">I60+I61</f>
        <v>1435.97938355679</v>
      </c>
      <c r="J62" s="55" t="n">
        <f aca="false">J60+J61</f>
        <v>1853.7943363093</v>
      </c>
      <c r="K62" s="55" t="n">
        <f aca="false">K60+K61</f>
        <v>2253.04661950192</v>
      </c>
      <c r="L62" s="55" t="n">
        <f aca="false">L60+L61</f>
        <v>2631.7484832073</v>
      </c>
      <c r="M62" s="55" t="n">
        <f aca="false">M60+M61</f>
        <v>3002.35374830965</v>
      </c>
    </row>
    <row r="63" customFormat="false" ht="23.25" hidden="false" customHeight="true" outlineLevel="0" collapsed="false">
      <c r="B63" s="4" t="s">
        <v>596</v>
      </c>
      <c r="D63" s="25" t="n">
        <f aca="false">0.1*D62</f>
        <v>7.65099</v>
      </c>
      <c r="E63" s="25" t="n">
        <f aca="false">0.1*E62</f>
        <v>20.3007222</v>
      </c>
      <c r="F63" s="25" t="n">
        <f aca="false">0.1*F62</f>
        <v>38.334047274</v>
      </c>
      <c r="G63" s="25" t="n">
        <f aca="false">0.1*G62</f>
        <v>68.28529086558</v>
      </c>
      <c r="H63" s="25" t="n">
        <f aca="false">0.1*H62</f>
        <v>105.989328865939</v>
      </c>
      <c r="I63" s="25" t="n">
        <f aca="false">0.1*I62</f>
        <v>143.597938355679</v>
      </c>
      <c r="J63" s="25" t="n">
        <f aca="false">0.1*J62</f>
        <v>185.37943363093</v>
      </c>
      <c r="K63" s="25" t="n">
        <f aca="false">0.1*K62</f>
        <v>225.304661950192</v>
      </c>
      <c r="L63" s="25" t="n">
        <f aca="false">0.1*L62</f>
        <v>263.17484832073</v>
      </c>
      <c r="M63" s="25" t="n">
        <f aca="false">0.1*M62</f>
        <v>300.235374830965</v>
      </c>
    </row>
    <row r="64" customFormat="false" ht="15" hidden="false" customHeight="true" outlineLevel="0" collapsed="false">
      <c r="B64" s="4" t="s">
        <v>597</v>
      </c>
      <c r="D64" s="25" t="n">
        <f aca="false">Assumptions!$C$23*D62</f>
        <v>0.8416089</v>
      </c>
      <c r="E64" s="25" t="n">
        <f aca="false">Assumptions!$C$23*E62</f>
        <v>2.233079442</v>
      </c>
      <c r="F64" s="25" t="n">
        <f aca="false">Assumptions!$C$23*F62</f>
        <v>4.21674520014</v>
      </c>
      <c r="G64" s="25" t="n">
        <f aca="false">Assumptions!$C$23*G62</f>
        <v>7.5113819952138</v>
      </c>
      <c r="H64" s="25" t="n">
        <f aca="false">Assumptions!$C$23*H62</f>
        <v>11.6588261752532</v>
      </c>
      <c r="I64" s="25" t="n">
        <f aca="false">Assumptions!$C$23*I62</f>
        <v>15.7957732191247</v>
      </c>
      <c r="J64" s="25" t="n">
        <f aca="false">Assumptions!$C$23*J62</f>
        <v>20.3917376994023</v>
      </c>
      <c r="K64" s="25" t="n">
        <f aca="false">Assumptions!$C$23*K62</f>
        <v>24.7835128145211</v>
      </c>
      <c r="L64" s="25" t="n">
        <f aca="false">Assumptions!$C$23*L62</f>
        <v>28.9492333152803</v>
      </c>
      <c r="M64" s="25" t="n">
        <f aca="false">Assumptions!$C$23*M62</f>
        <v>33.0258912314062</v>
      </c>
    </row>
    <row r="66" customFormat="false" ht="21.75" hidden="false" customHeight="true" outlineLevel="0" collapsed="false">
      <c r="B66" s="6" t="s">
        <v>598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customFormat="false" ht="21.75" hidden="false" customHeight="true" outlineLevel="0" collapsed="false">
      <c r="B67" s="106" t="s">
        <v>599</v>
      </c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</row>
    <row r="68" customFormat="false" ht="21.75" hidden="false" customHeight="true" outlineLevel="0" collapsed="false">
      <c r="B68" s="106" t="s">
        <v>600</v>
      </c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</row>
    <row r="69" customFormat="false" ht="21.75" hidden="false" customHeight="true" outlineLevel="0" collapsed="false">
      <c r="B69" s="106" t="s">
        <v>601</v>
      </c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</row>
    <row r="70" customFormat="false" ht="21.75" hidden="false" customHeight="true" outlineLevel="0" collapsed="false">
      <c r="B70" s="106" t="s">
        <v>602</v>
      </c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</row>
    <row r="71" customFormat="false" ht="21.75" hidden="false" customHeight="true" outlineLevel="0" collapsed="false">
      <c r="B71" s="106" t="s">
        <v>603</v>
      </c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</row>
    <row r="72" customFormat="false" ht="21.75" hidden="false" customHeight="true" outlineLevel="0" collapsed="false">
      <c r="B72" s="106" t="s">
        <v>604</v>
      </c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</row>
    <row r="73" customFormat="false" ht="21.75" hidden="false" customHeight="true" outlineLevel="0" collapsed="false">
      <c r="B73" s="106" t="s">
        <v>605</v>
      </c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</row>
    <row r="74" customFormat="false" ht="15" hidden="false" customHeight="true" outlineLevel="0" collapsed="false">
      <c r="B74" s="1" t="s">
        <v>606</v>
      </c>
    </row>
    <row r="75" customFormat="false" ht="15" hidden="false" customHeight="true" outlineLevel="0" collapsed="false">
      <c r="B75" s="1" t="s">
        <v>607</v>
      </c>
      <c r="D75" s="38" t="n">
        <v>0</v>
      </c>
      <c r="E75" s="38" t="n">
        <f aca="false">D29</f>
        <v>100</v>
      </c>
      <c r="F75" s="38" t="n">
        <f aca="false">E29</f>
        <v>250</v>
      </c>
      <c r="G75" s="38" t="n">
        <f aca="false">F29</f>
        <v>412.1003</v>
      </c>
      <c r="H75" s="38" t="n">
        <f aca="false">G29</f>
        <v>656.59205</v>
      </c>
      <c r="I75" s="38" t="n">
        <f aca="false">H29</f>
        <v>905.278025</v>
      </c>
      <c r="J75" s="38" t="n">
        <f aca="false">I29</f>
        <v>1131.2554125</v>
      </c>
      <c r="K75" s="38" t="n">
        <f aca="false">J29</f>
        <v>1355.54910625</v>
      </c>
      <c r="L75" s="38" t="n">
        <f aca="false">K29</f>
        <v>1548.110153125</v>
      </c>
      <c r="M75" s="38" t="n">
        <f aca="false">L29</f>
        <v>1730.2319765625</v>
      </c>
    </row>
    <row r="76" customFormat="false" ht="15" hidden="false" customHeight="true" outlineLevel="0" collapsed="false">
      <c r="B76" s="1" t="s">
        <v>608</v>
      </c>
      <c r="D76" s="38" t="n">
        <v>105</v>
      </c>
      <c r="E76" s="38" t="n">
        <f aca="false">D30</f>
        <v>288.575</v>
      </c>
      <c r="F76" s="38" t="n">
        <f aca="false">E30</f>
        <v>530.798</v>
      </c>
      <c r="G76" s="38" t="n">
        <f aca="false">F30</f>
        <v>674.2849</v>
      </c>
      <c r="H76" s="38" t="n">
        <f aca="false">G30</f>
        <v>861.99435</v>
      </c>
      <c r="I76" s="38" t="n">
        <f aca="false">H30</f>
        <v>1076.262575</v>
      </c>
      <c r="J76" s="38" t="n">
        <f aca="false">I30</f>
        <v>1193.8025875</v>
      </c>
      <c r="K76" s="38" t="n">
        <f aca="false">J30</f>
        <v>1362.14749375</v>
      </c>
      <c r="L76" s="38" t="n">
        <f aca="false">K30</f>
        <v>1462.649346875</v>
      </c>
      <c r="M76" s="38" t="n">
        <f aca="false">L30</f>
        <v>1520.8622734375</v>
      </c>
    </row>
    <row r="77" customFormat="false" ht="15" hidden="false" customHeight="true" outlineLevel="0" collapsed="false">
      <c r="B77" s="1" t="s">
        <v>609</v>
      </c>
      <c r="D77" s="38" t="n">
        <v>0</v>
      </c>
      <c r="E77" s="38" t="n">
        <f aca="false">D31</f>
        <v>0</v>
      </c>
      <c r="F77" s="38" t="n">
        <f aca="false">E31</f>
        <v>73.3929</v>
      </c>
      <c r="G77" s="38" t="n">
        <f aca="false">F31</f>
        <v>322.873743</v>
      </c>
      <c r="H77" s="38" t="n">
        <f aca="false">G31</f>
        <v>701.81380781</v>
      </c>
      <c r="I77" s="38" t="n">
        <f aca="false">H31</f>
        <v>1154.4048512327</v>
      </c>
      <c r="J77" s="38" t="n">
        <f aca="false">I31</f>
        <v>1652.25785032591</v>
      </c>
      <c r="K77" s="38" t="n">
        <f aca="false">J31</f>
        <v>2145.24005971836</v>
      </c>
      <c r="L77" s="38" t="n">
        <f aca="false">K31</f>
        <v>2677.2410400113</v>
      </c>
      <c r="M77" s="38" t="n">
        <f aca="false">L31</f>
        <v>3140.98329680757</v>
      </c>
    </row>
    <row r="78" customFormat="false" ht="15" hidden="false" customHeight="true" outlineLevel="0" collapsed="false">
      <c r="B78" s="1" t="s">
        <v>610</v>
      </c>
      <c r="D78" s="38" t="n">
        <v>0</v>
      </c>
      <c r="E78" s="38" t="n">
        <f aca="false">D32</f>
        <v>0</v>
      </c>
      <c r="F78" s="38" t="n">
        <f aca="false">E32</f>
        <v>100</v>
      </c>
      <c r="G78" s="38" t="n">
        <f aca="false">F32</f>
        <v>317</v>
      </c>
      <c r="H78" s="38" t="n">
        <f aca="false">G32</f>
        <v>793.79</v>
      </c>
      <c r="I78" s="38" t="n">
        <f aca="false">H32</f>
        <v>1505.1982</v>
      </c>
      <c r="J78" s="38" t="n">
        <f aca="false">I32</f>
        <v>2199.815994</v>
      </c>
      <c r="K78" s="38" t="n">
        <f aca="false">J32</f>
        <v>2919.82811598</v>
      </c>
      <c r="L78" s="38" t="n">
        <f aca="false">K32</f>
        <v>3556.9660377066</v>
      </c>
      <c r="M78" s="38" t="n">
        <f aca="false">L32</f>
        <v>4200.76884526342</v>
      </c>
    </row>
    <row r="79" customFormat="false" ht="15" hidden="false" customHeight="true" outlineLevel="0" collapsed="false">
      <c r="B79" s="1" t="s">
        <v>611</v>
      </c>
      <c r="D79" s="38" t="n">
        <v>0</v>
      </c>
      <c r="E79" s="38" t="n">
        <f aca="false">D33</f>
        <v>0</v>
      </c>
      <c r="F79" s="38" t="n">
        <f aca="false">E33</f>
        <v>75.81</v>
      </c>
      <c r="G79" s="38" t="n">
        <f aca="false">F33</f>
        <v>201.8035</v>
      </c>
      <c r="H79" s="38" t="n">
        <f aca="false">G33</f>
        <v>401.352625</v>
      </c>
      <c r="I79" s="38" t="n">
        <f aca="false">H33</f>
        <v>634.84856875</v>
      </c>
      <c r="J79" s="38" t="n">
        <f aca="false">I33</f>
        <v>903.9897265625</v>
      </c>
      <c r="K79" s="38" t="n">
        <f aca="false">J33</f>
        <v>1306.38329492188</v>
      </c>
      <c r="L79" s="38" t="n">
        <f aca="false">K33</f>
        <v>1754.24987119141</v>
      </c>
      <c r="M79" s="38" t="n">
        <f aca="false">L33</f>
        <v>2196.60740339355</v>
      </c>
    </row>
    <row r="80" customFormat="false" ht="15" hidden="false" customHeight="true" outlineLevel="0" collapsed="false">
      <c r="B80" s="1" t="s">
        <v>612</v>
      </c>
      <c r="D80" s="38" t="n">
        <v>0</v>
      </c>
      <c r="E80" s="38" t="n">
        <f aca="false">D34</f>
        <v>36.48</v>
      </c>
      <c r="F80" s="38" t="n">
        <f aca="false">E34</f>
        <v>97.817</v>
      </c>
      <c r="G80" s="38" t="n">
        <f aca="false">F34</f>
        <v>201.60685</v>
      </c>
      <c r="H80" s="38" t="n">
        <f aca="false">G34</f>
        <v>378.0844375</v>
      </c>
      <c r="I80" s="38" t="n">
        <f aca="false">H34</f>
        <v>612.303828125</v>
      </c>
      <c r="J80" s="38" t="n">
        <f aca="false">I34</f>
        <v>896.54167109375</v>
      </c>
      <c r="K80" s="38" t="n">
        <f aca="false">J34</f>
        <v>1209.70935332031</v>
      </c>
      <c r="L80" s="38" t="n">
        <f aca="false">K34</f>
        <v>1517.70921499023</v>
      </c>
      <c r="M80" s="38" t="n">
        <f aca="false">L34</f>
        <v>1831.37111124268</v>
      </c>
    </row>
    <row r="81" customFormat="false" ht="15" hidden="false" customHeight="true" outlineLevel="0" collapsed="false">
      <c r="B81" s="1" t="s">
        <v>613</v>
      </c>
    </row>
    <row r="82" customFormat="false" ht="15" hidden="false" customHeight="true" outlineLevel="0" collapsed="false">
      <c r="B82" s="1" t="s">
        <v>614</v>
      </c>
      <c r="D82" s="112" t="n">
        <v>0.5</v>
      </c>
      <c r="E82" s="112" t="n">
        <v>0.5</v>
      </c>
      <c r="F82" s="112" t="n">
        <v>0.5</v>
      </c>
      <c r="G82" s="112" t="n">
        <v>0.5</v>
      </c>
      <c r="H82" s="112" t="n">
        <v>0.5</v>
      </c>
      <c r="I82" s="112" t="n">
        <v>0.5</v>
      </c>
      <c r="J82" s="112" t="n">
        <v>0.5</v>
      </c>
      <c r="K82" s="112" t="n">
        <v>0.5</v>
      </c>
      <c r="L82" s="112" t="n">
        <v>0.5</v>
      </c>
      <c r="M82" s="112" t="n">
        <v>0.5</v>
      </c>
    </row>
    <row r="83" customFormat="false" ht="15" hidden="false" customHeight="true" outlineLevel="0" collapsed="false">
      <c r="B83" s="1" t="s">
        <v>615</v>
      </c>
      <c r="D83" s="112" t="n">
        <v>0.5</v>
      </c>
      <c r="E83" s="112" t="n">
        <v>0.5</v>
      </c>
      <c r="F83" s="112" t="n">
        <v>0.5</v>
      </c>
      <c r="G83" s="112" t="n">
        <v>0.5</v>
      </c>
      <c r="H83" s="112" t="n">
        <v>0.5</v>
      </c>
      <c r="I83" s="112" t="n">
        <v>0.5</v>
      </c>
      <c r="J83" s="112" t="n">
        <v>0.5</v>
      </c>
      <c r="K83" s="112" t="n">
        <v>0.5</v>
      </c>
      <c r="L83" s="112" t="n">
        <v>0.5</v>
      </c>
      <c r="M83" s="112" t="n">
        <v>0.5</v>
      </c>
    </row>
    <row r="84" customFormat="false" ht="15" hidden="false" customHeight="true" outlineLevel="0" collapsed="false">
      <c r="B84" s="1" t="s">
        <v>616</v>
      </c>
      <c r="D84" s="112" t="n">
        <v>0.33</v>
      </c>
      <c r="E84" s="112" t="n">
        <v>0.33</v>
      </c>
      <c r="F84" s="112" t="n">
        <v>0.33</v>
      </c>
      <c r="G84" s="112" t="n">
        <v>0.33</v>
      </c>
      <c r="H84" s="112" t="n">
        <v>0.33</v>
      </c>
      <c r="I84" s="112" t="n">
        <v>0.33</v>
      </c>
      <c r="J84" s="112" t="n">
        <v>0.33</v>
      </c>
      <c r="K84" s="112" t="n">
        <v>0.33</v>
      </c>
      <c r="L84" s="112" t="n">
        <v>0.33</v>
      </c>
      <c r="M84" s="112" t="n">
        <v>0.33</v>
      </c>
    </row>
    <row r="85" customFormat="false" ht="15" hidden="false" customHeight="true" outlineLevel="0" collapsed="false">
      <c r="B85" s="1" t="s">
        <v>617</v>
      </c>
      <c r="D85" s="112" t="n">
        <v>0.33</v>
      </c>
      <c r="E85" s="112" t="n">
        <v>0.33</v>
      </c>
      <c r="F85" s="112" t="n">
        <v>0.33</v>
      </c>
      <c r="G85" s="112" t="n">
        <v>0.33</v>
      </c>
      <c r="H85" s="112" t="n">
        <v>0.33</v>
      </c>
      <c r="I85" s="112" t="n">
        <v>0.33</v>
      </c>
      <c r="J85" s="112" t="n">
        <v>0.33</v>
      </c>
      <c r="K85" s="112" t="n">
        <v>0.33</v>
      </c>
      <c r="L85" s="112" t="n">
        <v>0.33</v>
      </c>
      <c r="M85" s="112" t="n">
        <v>0.33</v>
      </c>
    </row>
    <row r="86" customFormat="false" ht="15" hidden="false" customHeight="true" outlineLevel="0" collapsed="false">
      <c r="B86" s="1" t="s">
        <v>618</v>
      </c>
      <c r="D86" s="112" t="n">
        <v>0.25</v>
      </c>
      <c r="E86" s="112" t="n">
        <v>0.25</v>
      </c>
      <c r="F86" s="112" t="n">
        <v>0.25</v>
      </c>
      <c r="G86" s="112" t="n">
        <v>0.25</v>
      </c>
      <c r="H86" s="112" t="n">
        <v>0.25</v>
      </c>
      <c r="I86" s="112" t="n">
        <v>0.25</v>
      </c>
      <c r="J86" s="112" t="n">
        <v>0.25</v>
      </c>
      <c r="K86" s="112" t="n">
        <v>0.25</v>
      </c>
      <c r="L86" s="112" t="n">
        <v>0.25</v>
      </c>
      <c r="M86" s="112" t="n">
        <v>0.25</v>
      </c>
    </row>
    <row r="87" customFormat="false" ht="15" hidden="false" customHeight="true" outlineLevel="0" collapsed="false">
      <c r="B87" s="1" t="s">
        <v>619</v>
      </c>
      <c r="D87" s="112" t="n">
        <v>0.25</v>
      </c>
      <c r="E87" s="112" t="n">
        <v>0.25</v>
      </c>
      <c r="F87" s="112" t="n">
        <v>0.25</v>
      </c>
      <c r="G87" s="112" t="n">
        <v>0.25</v>
      </c>
      <c r="H87" s="112" t="n">
        <v>0.25</v>
      </c>
      <c r="I87" s="112" t="n">
        <v>0.25</v>
      </c>
      <c r="J87" s="112" t="n">
        <v>0.25</v>
      </c>
      <c r="K87" s="112" t="n">
        <v>0.25</v>
      </c>
      <c r="L87" s="112" t="n">
        <v>0.25</v>
      </c>
      <c r="M87" s="112" t="n">
        <v>0.25</v>
      </c>
    </row>
    <row r="89" customFormat="false" ht="15" hidden="false" customHeight="true" outlineLevel="0" collapsed="false">
      <c r="B89" s="1" t="s">
        <v>620</v>
      </c>
      <c r="D89" s="1" t="n">
        <f aca="false">D75*D82</f>
        <v>0</v>
      </c>
      <c r="E89" s="1" t="n">
        <f aca="false">E75*E82</f>
        <v>50</v>
      </c>
      <c r="F89" s="1" t="n">
        <f aca="false">F75*F82</f>
        <v>125</v>
      </c>
      <c r="G89" s="1" t="n">
        <f aca="false">G75*G82</f>
        <v>206.05015</v>
      </c>
      <c r="H89" s="1" t="n">
        <f aca="false">H75*H82</f>
        <v>328.296025</v>
      </c>
      <c r="I89" s="1" t="n">
        <f aca="false">I75*I82</f>
        <v>452.6390125</v>
      </c>
      <c r="J89" s="1" t="n">
        <f aca="false">J75*J82</f>
        <v>565.62770625</v>
      </c>
      <c r="K89" s="1" t="n">
        <f aca="false">K75*K82</f>
        <v>677.774553125</v>
      </c>
      <c r="L89" s="1" t="n">
        <f aca="false">L75*L82</f>
        <v>774.0550765625</v>
      </c>
      <c r="M89" s="1" t="n">
        <f aca="false">M75*M82</f>
        <v>865.11598828125</v>
      </c>
    </row>
    <row r="90" customFormat="false" ht="15" hidden="false" customHeight="true" outlineLevel="0" collapsed="false">
      <c r="B90" s="1" t="s">
        <v>621</v>
      </c>
      <c r="D90" s="1" t="n">
        <f aca="false">D76*D83</f>
        <v>52.5</v>
      </c>
      <c r="E90" s="1" t="n">
        <f aca="false">E76*E83</f>
        <v>144.2875</v>
      </c>
      <c r="F90" s="1" t="n">
        <f aca="false">F76*F83</f>
        <v>265.399</v>
      </c>
      <c r="G90" s="1" t="n">
        <f aca="false">G76*G83</f>
        <v>337.14245</v>
      </c>
      <c r="H90" s="1" t="n">
        <f aca="false">H76*H83</f>
        <v>430.997175</v>
      </c>
      <c r="I90" s="1" t="n">
        <f aca="false">I76*I83</f>
        <v>538.1312875</v>
      </c>
      <c r="J90" s="1" t="n">
        <f aca="false">J76*J83</f>
        <v>596.90129375</v>
      </c>
      <c r="K90" s="1" t="n">
        <f aca="false">K76*K83</f>
        <v>681.073746875</v>
      </c>
      <c r="L90" s="1" t="n">
        <f aca="false">L76*L83</f>
        <v>731.3246734375</v>
      </c>
      <c r="M90" s="1" t="n">
        <f aca="false">M76*M83</f>
        <v>760.43113671875</v>
      </c>
    </row>
    <row r="91" customFormat="false" ht="15" hidden="false" customHeight="true" outlineLevel="0" collapsed="false">
      <c r="B91" s="1" t="s">
        <v>622</v>
      </c>
      <c r="D91" s="1" t="n">
        <f aca="false">D77*D84</f>
        <v>0</v>
      </c>
      <c r="E91" s="1" t="n">
        <f aca="false">E77*E84</f>
        <v>0</v>
      </c>
      <c r="F91" s="1" t="n">
        <f aca="false">F77*F84</f>
        <v>24.219657</v>
      </c>
      <c r="G91" s="1" t="n">
        <f aca="false">G77*G84</f>
        <v>106.54833519</v>
      </c>
      <c r="H91" s="1" t="n">
        <f aca="false">H77*H84</f>
        <v>231.5985565773</v>
      </c>
      <c r="I91" s="1" t="n">
        <f aca="false">I77*I84</f>
        <v>380.953600906791</v>
      </c>
      <c r="J91" s="1" t="n">
        <f aca="false">J77*J84</f>
        <v>545.24509060755</v>
      </c>
      <c r="K91" s="1" t="n">
        <f aca="false">K77*K84</f>
        <v>707.929219707059</v>
      </c>
      <c r="L91" s="1" t="n">
        <f aca="false">L77*L84</f>
        <v>883.489543203729</v>
      </c>
      <c r="M91" s="1" t="n">
        <f aca="false">M77*M84</f>
        <v>1036.5244879465</v>
      </c>
    </row>
    <row r="92" customFormat="false" ht="15" hidden="false" customHeight="true" outlineLevel="0" collapsed="false">
      <c r="B92" s="1" t="s">
        <v>623</v>
      </c>
      <c r="D92" s="1" t="n">
        <f aca="false">D78*D85</f>
        <v>0</v>
      </c>
      <c r="E92" s="1" t="n">
        <f aca="false">E78*E85</f>
        <v>0</v>
      </c>
      <c r="F92" s="1" t="n">
        <f aca="false">F78*F85</f>
        <v>33</v>
      </c>
      <c r="G92" s="1" t="n">
        <f aca="false">G78*G85</f>
        <v>104.61</v>
      </c>
      <c r="H92" s="1" t="n">
        <f aca="false">H78*H85</f>
        <v>261.9507</v>
      </c>
      <c r="I92" s="1" t="n">
        <f aca="false">I78*I85</f>
        <v>496.715406</v>
      </c>
      <c r="J92" s="1" t="n">
        <f aca="false">J78*J85</f>
        <v>725.93927802</v>
      </c>
      <c r="K92" s="1" t="n">
        <f aca="false">K78*K85</f>
        <v>963.5432782734</v>
      </c>
      <c r="L92" s="1" t="n">
        <f aca="false">L78*L85</f>
        <v>1173.79879244318</v>
      </c>
      <c r="M92" s="1" t="n">
        <f aca="false">M78*M85</f>
        <v>1386.25371893693</v>
      </c>
    </row>
    <row r="93" customFormat="false" ht="15" hidden="false" customHeight="true" outlineLevel="0" collapsed="false">
      <c r="B93" s="1" t="s">
        <v>624</v>
      </c>
      <c r="D93" s="1" t="n">
        <f aca="false">D79*D86</f>
        <v>0</v>
      </c>
      <c r="E93" s="1" t="n">
        <f aca="false">E79*E86</f>
        <v>0</v>
      </c>
      <c r="F93" s="1" t="n">
        <f aca="false">F79*F86</f>
        <v>18.9525</v>
      </c>
      <c r="G93" s="1" t="n">
        <f aca="false">G79*G86</f>
        <v>50.450875</v>
      </c>
      <c r="H93" s="1" t="n">
        <f aca="false">H79*H86</f>
        <v>100.33815625</v>
      </c>
      <c r="I93" s="1" t="n">
        <f aca="false">I79*I86</f>
        <v>158.7121421875</v>
      </c>
      <c r="J93" s="1" t="n">
        <f aca="false">J79*J86</f>
        <v>225.997431640625</v>
      </c>
      <c r="K93" s="1" t="n">
        <f aca="false">K79*K86</f>
        <v>326.595823730469</v>
      </c>
      <c r="L93" s="1" t="n">
        <f aca="false">L79*L86</f>
        <v>438.562467797852</v>
      </c>
      <c r="M93" s="1" t="n">
        <f aca="false">M79*M86</f>
        <v>549.151850848389</v>
      </c>
    </row>
    <row r="94" customFormat="false" ht="15" hidden="false" customHeight="true" outlineLevel="0" collapsed="false">
      <c r="B94" s="1" t="s">
        <v>625</v>
      </c>
      <c r="D94" s="1" t="n">
        <f aca="false">D80*D87</f>
        <v>0</v>
      </c>
      <c r="E94" s="1" t="n">
        <f aca="false">E80*E87</f>
        <v>9.12</v>
      </c>
      <c r="F94" s="1" t="n">
        <f aca="false">F80*F87</f>
        <v>24.45425</v>
      </c>
      <c r="G94" s="1" t="n">
        <f aca="false">G80*G87</f>
        <v>50.4017125</v>
      </c>
      <c r="H94" s="1" t="n">
        <f aca="false">H80*H87</f>
        <v>94.521109375</v>
      </c>
      <c r="I94" s="1" t="n">
        <f aca="false">I80*I87</f>
        <v>153.07595703125</v>
      </c>
      <c r="J94" s="1" t="n">
        <f aca="false">J80*J87</f>
        <v>224.135417773438</v>
      </c>
      <c r="K94" s="1" t="n">
        <f aca="false">K80*K87</f>
        <v>302.427338330078</v>
      </c>
      <c r="L94" s="1" t="n">
        <f aca="false">L80*L87</f>
        <v>379.427303747559</v>
      </c>
      <c r="M94" s="1" t="n">
        <f aca="false">M80*M87</f>
        <v>457.842777810669</v>
      </c>
    </row>
    <row r="95" customFormat="false" ht="15" hidden="false" customHeight="true" outlineLevel="0" collapsed="false">
      <c r="B95" s="37" t="s">
        <v>626</v>
      </c>
      <c r="D95" s="1" t="n">
        <f aca="false">SUM(D89:D94)</f>
        <v>52.5</v>
      </c>
      <c r="E95" s="1" t="n">
        <f aca="false">SUM(E89:E94)</f>
        <v>203.4075</v>
      </c>
      <c r="F95" s="1" t="n">
        <f aca="false">SUM(F89:F94)</f>
        <v>491.025407</v>
      </c>
      <c r="G95" s="1" t="n">
        <f aca="false">SUM(G89:G94)</f>
        <v>855.20352269</v>
      </c>
      <c r="H95" s="1" t="n">
        <f aca="false">SUM(H89:H94)</f>
        <v>1447.7017222023</v>
      </c>
      <c r="I95" s="1" t="n">
        <f aca="false">SUM(I89:I94)</f>
        <v>2180.22740612554</v>
      </c>
      <c r="J95" s="1" t="n">
        <f aca="false">SUM(J89:J94)</f>
        <v>2883.84621804161</v>
      </c>
      <c r="K95" s="1" t="n">
        <f aca="false">SUM(K89:K94)</f>
        <v>3659.34396004101</v>
      </c>
      <c r="L95" s="1" t="n">
        <f aca="false">SUM(L89:L94)</f>
        <v>4380.65785719232</v>
      </c>
      <c r="M95" s="1" t="n">
        <f aca="false">SUM(M89:M94)</f>
        <v>5055.31996054249</v>
      </c>
    </row>
    <row r="97" customFormat="false" ht="15" hidden="false" customHeight="true" outlineLevel="0" collapsed="false">
      <c r="B97" s="1" t="s">
        <v>627</v>
      </c>
    </row>
    <row r="98" customFormat="false" ht="15" hidden="false" customHeight="true" outlineLevel="0" collapsed="false">
      <c r="B98" s="1" t="s">
        <v>628</v>
      </c>
    </row>
    <row r="99" customFormat="false" ht="15" hidden="false" customHeight="true" outlineLevel="0" collapsed="false">
      <c r="B99" s="1" t="s">
        <v>629</v>
      </c>
    </row>
    <row r="100" customFormat="false" ht="15" hidden="false" customHeight="true" outlineLevel="0" collapsed="false">
      <c r="B100" s="1" t="s">
        <v>630</v>
      </c>
    </row>
    <row r="101" customFormat="false" ht="15" hidden="false" customHeight="true" outlineLevel="0" collapsed="false">
      <c r="B101" s="1" t="s">
        <v>631</v>
      </c>
    </row>
    <row r="102" customFormat="false" ht="15" hidden="false" customHeight="true" outlineLevel="0" collapsed="false">
      <c r="B102" s="1" t="s">
        <v>632</v>
      </c>
    </row>
  </sheetData>
  <mergeCells count="18">
    <mergeCell ref="B2:M2"/>
    <mergeCell ref="B3:M3"/>
    <mergeCell ref="B5:M5"/>
    <mergeCell ref="B12:M12"/>
    <mergeCell ref="B19:M19"/>
    <mergeCell ref="B28:M28"/>
    <mergeCell ref="B37:M37"/>
    <mergeCell ref="B42:M42"/>
    <mergeCell ref="B51:M51"/>
    <mergeCell ref="B59:M59"/>
    <mergeCell ref="B66:M66"/>
    <mergeCell ref="B67:M67"/>
    <mergeCell ref="B68:M68"/>
    <mergeCell ref="B69:M69"/>
    <mergeCell ref="B70:M70"/>
    <mergeCell ref="B71:M71"/>
    <mergeCell ref="B72:M72"/>
    <mergeCell ref="B73:M73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41" activePane="bottomRight" state="frozen"/>
      <selection pane="topLeft" activeCell="A1" activeCellId="0" sqref="A1"/>
      <selection pane="topRight" activeCell="D1" activeCellId="0" sqref="D1"/>
      <selection pane="bottomLeft" activeCell="A41" activeCellId="0" sqref="A41"/>
      <selection pane="bottomRight" activeCell="Q65" activeCellId="0" sqref="Q6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633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634</v>
      </c>
      <c r="C4" s="20" t="s">
        <v>635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636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true" outlineLevel="0" collapsed="false">
      <c r="B6" s="96" t="s">
        <v>637</v>
      </c>
      <c r="C6" s="113" t="n">
        <v>18</v>
      </c>
      <c r="D6" s="97" t="n">
        <v>10</v>
      </c>
      <c r="E6" s="97" t="n">
        <v>14</v>
      </c>
      <c r="F6" s="97" t="n">
        <v>17</v>
      </c>
      <c r="G6" s="97" t="n">
        <v>19</v>
      </c>
      <c r="H6" s="97" t="n">
        <v>20</v>
      </c>
      <c r="I6" s="97" t="n">
        <v>21</v>
      </c>
      <c r="J6" s="97" t="n">
        <v>22</v>
      </c>
      <c r="K6" s="97" t="n">
        <v>22</v>
      </c>
      <c r="L6" s="97" t="n">
        <v>22</v>
      </c>
      <c r="M6" s="97" t="n">
        <v>22</v>
      </c>
    </row>
    <row r="7" customFormat="false" ht="15" hidden="false" customHeight="true" outlineLevel="0" collapsed="false">
      <c r="B7" s="96" t="s">
        <v>638</v>
      </c>
      <c r="C7" s="113" t="n">
        <v>25</v>
      </c>
      <c r="D7" s="97" t="n">
        <v>8</v>
      </c>
      <c r="E7" s="97" t="n">
        <v>11</v>
      </c>
      <c r="F7" s="97" t="n">
        <v>13</v>
      </c>
      <c r="G7" s="97" t="n">
        <v>15</v>
      </c>
      <c r="H7" s="97" t="n">
        <v>16</v>
      </c>
      <c r="I7" s="97" t="n">
        <v>17</v>
      </c>
      <c r="J7" s="97" t="n">
        <v>17</v>
      </c>
      <c r="K7" s="97" t="n">
        <v>18</v>
      </c>
      <c r="L7" s="97" t="n">
        <v>18</v>
      </c>
      <c r="M7" s="97" t="n">
        <v>18</v>
      </c>
    </row>
    <row r="8" customFormat="false" ht="15" hidden="false" customHeight="true" outlineLevel="0" collapsed="false">
      <c r="B8" s="96" t="s">
        <v>639</v>
      </c>
      <c r="C8" s="113" t="n">
        <v>28</v>
      </c>
      <c r="D8" s="97" t="n">
        <v>4</v>
      </c>
      <c r="E8" s="97" t="n">
        <v>6</v>
      </c>
      <c r="F8" s="97" t="n">
        <v>7</v>
      </c>
      <c r="G8" s="97" t="n">
        <v>8</v>
      </c>
      <c r="H8" s="97" t="n">
        <v>9</v>
      </c>
      <c r="I8" s="97" t="n">
        <v>9</v>
      </c>
      <c r="J8" s="97" t="n">
        <v>10</v>
      </c>
      <c r="K8" s="97" t="n">
        <v>10</v>
      </c>
      <c r="L8" s="97" t="n">
        <v>10</v>
      </c>
      <c r="M8" s="97" t="n">
        <v>10</v>
      </c>
    </row>
    <row r="9" customFormat="false" ht="15" hidden="false" customHeight="true" outlineLevel="0" collapsed="false">
      <c r="B9" s="96" t="s">
        <v>640</v>
      </c>
      <c r="C9" s="113" t="n">
        <v>18</v>
      </c>
      <c r="D9" s="97" t="n">
        <v>7</v>
      </c>
      <c r="E9" s="97" t="n">
        <v>10</v>
      </c>
      <c r="F9" s="97" t="n">
        <v>12</v>
      </c>
      <c r="G9" s="97" t="n">
        <v>13</v>
      </c>
      <c r="H9" s="97" t="n">
        <v>14</v>
      </c>
      <c r="I9" s="97" t="n">
        <v>15</v>
      </c>
      <c r="J9" s="97" t="n">
        <v>16</v>
      </c>
      <c r="K9" s="97" t="n">
        <v>16</v>
      </c>
      <c r="L9" s="97" t="n">
        <v>17</v>
      </c>
      <c r="M9" s="97" t="n">
        <v>17</v>
      </c>
    </row>
    <row r="10" customFormat="false" ht="15" hidden="false" customHeight="true" outlineLevel="0" collapsed="false">
      <c r="B10" s="96" t="s">
        <v>641</v>
      </c>
      <c r="C10" s="113" t="n">
        <v>18</v>
      </c>
      <c r="D10" s="97" t="n">
        <v>5</v>
      </c>
      <c r="E10" s="97" t="n">
        <v>8</v>
      </c>
      <c r="F10" s="97" t="n">
        <v>10</v>
      </c>
      <c r="G10" s="97" t="n">
        <v>12</v>
      </c>
      <c r="H10" s="97" t="n">
        <v>13</v>
      </c>
      <c r="I10" s="97" t="n">
        <v>14</v>
      </c>
      <c r="J10" s="97" t="n">
        <v>14</v>
      </c>
      <c r="K10" s="97" t="n">
        <v>15</v>
      </c>
      <c r="L10" s="97" t="n">
        <v>15</v>
      </c>
      <c r="M10" s="97" t="n">
        <v>15</v>
      </c>
    </row>
    <row r="11" customFormat="false" ht="15" hidden="false" customHeight="true" outlineLevel="0" collapsed="false">
      <c r="B11" s="96" t="s">
        <v>642</v>
      </c>
      <c r="C11" s="113" t="n">
        <v>18</v>
      </c>
      <c r="D11" s="97" t="n">
        <v>4</v>
      </c>
      <c r="E11" s="97" t="n">
        <v>6</v>
      </c>
      <c r="F11" s="97" t="n">
        <v>8</v>
      </c>
      <c r="G11" s="97" t="n">
        <v>9</v>
      </c>
      <c r="H11" s="97" t="n">
        <v>10</v>
      </c>
      <c r="I11" s="97" t="n">
        <v>11</v>
      </c>
      <c r="J11" s="97" t="n">
        <v>11</v>
      </c>
      <c r="K11" s="97" t="n">
        <v>12</v>
      </c>
      <c r="L11" s="97" t="n">
        <v>12</v>
      </c>
      <c r="M11" s="97" t="n">
        <v>12</v>
      </c>
    </row>
    <row r="12" customFormat="false" ht="15" hidden="false" customHeight="true" outlineLevel="0" collapsed="false">
      <c r="B12" s="96" t="s">
        <v>643</v>
      </c>
      <c r="C12" s="113" t="n">
        <v>22</v>
      </c>
      <c r="D12" s="97" t="n">
        <v>0</v>
      </c>
      <c r="E12" s="97" t="n">
        <v>1</v>
      </c>
      <c r="F12" s="97" t="n">
        <v>3</v>
      </c>
      <c r="G12" s="97" t="n">
        <v>6</v>
      </c>
      <c r="H12" s="97" t="n">
        <v>9</v>
      </c>
      <c r="I12" s="97" t="n">
        <v>11</v>
      </c>
      <c r="J12" s="97" t="n">
        <v>12</v>
      </c>
      <c r="K12" s="97" t="n">
        <v>13</v>
      </c>
      <c r="L12" s="97" t="n">
        <v>13</v>
      </c>
      <c r="M12" s="97" t="n">
        <v>13</v>
      </c>
    </row>
    <row r="13" customFormat="false" ht="15" hidden="false" customHeight="true" outlineLevel="0" collapsed="false">
      <c r="B13" s="96" t="s">
        <v>644</v>
      </c>
      <c r="C13" s="113" t="n">
        <v>32</v>
      </c>
      <c r="D13" s="97" t="n">
        <v>0</v>
      </c>
      <c r="E13" s="97" t="n">
        <v>1</v>
      </c>
      <c r="F13" s="97" t="n">
        <v>3</v>
      </c>
      <c r="G13" s="97" t="n">
        <v>5</v>
      </c>
      <c r="H13" s="97" t="n">
        <v>7</v>
      </c>
      <c r="I13" s="97" t="n">
        <v>9</v>
      </c>
      <c r="J13" s="97" t="n">
        <v>10</v>
      </c>
      <c r="K13" s="97" t="n">
        <v>11</v>
      </c>
      <c r="L13" s="97" t="n">
        <v>11</v>
      </c>
      <c r="M13" s="97" t="n">
        <v>11</v>
      </c>
    </row>
    <row r="14" customFormat="false" ht="15" hidden="false" customHeight="true" outlineLevel="0" collapsed="false">
      <c r="B14" s="96" t="s">
        <v>645</v>
      </c>
      <c r="C14" s="113" t="n">
        <v>32</v>
      </c>
      <c r="D14" s="97" t="n">
        <v>2</v>
      </c>
      <c r="E14" s="97" t="n">
        <v>4</v>
      </c>
      <c r="F14" s="97" t="n">
        <v>6</v>
      </c>
      <c r="G14" s="97" t="n">
        <v>9</v>
      </c>
      <c r="H14" s="97" t="n">
        <v>11</v>
      </c>
      <c r="I14" s="97" t="n">
        <v>12</v>
      </c>
      <c r="J14" s="97" t="n">
        <v>13</v>
      </c>
      <c r="K14" s="97" t="n">
        <v>14</v>
      </c>
      <c r="L14" s="97" t="n">
        <v>14</v>
      </c>
      <c r="M14" s="97" t="n">
        <v>14</v>
      </c>
    </row>
    <row r="15" customFormat="false" ht="15" hidden="false" customHeight="true" outlineLevel="0" collapsed="false">
      <c r="B15" s="96" t="s">
        <v>646</v>
      </c>
      <c r="C15" s="113" t="n">
        <v>40</v>
      </c>
      <c r="D15" s="97" t="n">
        <v>6</v>
      </c>
      <c r="E15" s="97" t="n">
        <v>9</v>
      </c>
      <c r="F15" s="97" t="n">
        <v>11</v>
      </c>
      <c r="G15" s="97" t="n">
        <v>13</v>
      </c>
      <c r="H15" s="97" t="n">
        <v>14</v>
      </c>
      <c r="I15" s="97" t="n">
        <v>15</v>
      </c>
      <c r="J15" s="97" t="n">
        <v>16</v>
      </c>
      <c r="K15" s="97" t="n">
        <v>17</v>
      </c>
      <c r="L15" s="97" t="n">
        <v>17</v>
      </c>
      <c r="M15" s="97" t="n">
        <v>17</v>
      </c>
    </row>
    <row r="16" customFormat="false" ht="15" hidden="false" customHeight="true" outlineLevel="0" collapsed="false">
      <c r="B16" s="96" t="s">
        <v>647</v>
      </c>
      <c r="C16" s="113" t="n">
        <v>14</v>
      </c>
      <c r="D16" s="97" t="n">
        <v>2</v>
      </c>
      <c r="E16" s="97" t="n">
        <v>3</v>
      </c>
      <c r="F16" s="97" t="n">
        <v>4</v>
      </c>
      <c r="G16" s="97" t="n">
        <v>5</v>
      </c>
      <c r="H16" s="97" t="n">
        <v>6</v>
      </c>
      <c r="I16" s="97" t="n">
        <v>7</v>
      </c>
      <c r="J16" s="97" t="n">
        <v>7</v>
      </c>
      <c r="K16" s="97" t="n">
        <v>8</v>
      </c>
      <c r="L16" s="97" t="n">
        <v>8</v>
      </c>
      <c r="M16" s="97" t="n">
        <v>8</v>
      </c>
    </row>
    <row r="17" customFormat="false" ht="15" hidden="false" customHeight="true" outlineLevel="0" collapsed="false">
      <c r="B17" s="96" t="s">
        <v>648</v>
      </c>
      <c r="C17" s="113" t="n">
        <v>14</v>
      </c>
      <c r="D17" s="97" t="n">
        <v>4</v>
      </c>
      <c r="E17" s="97" t="n">
        <v>7</v>
      </c>
      <c r="F17" s="97" t="n">
        <v>10</v>
      </c>
      <c r="G17" s="97" t="n">
        <v>12</v>
      </c>
      <c r="H17" s="97" t="n">
        <v>14</v>
      </c>
      <c r="I17" s="97" t="n">
        <v>16</v>
      </c>
      <c r="J17" s="97" t="n">
        <v>17</v>
      </c>
      <c r="K17" s="97" t="n">
        <v>18</v>
      </c>
      <c r="L17" s="97" t="n">
        <v>19</v>
      </c>
      <c r="M17" s="97" t="n">
        <v>20</v>
      </c>
    </row>
    <row r="18" customFormat="false" ht="15" hidden="false" customHeight="true" outlineLevel="0" collapsed="false">
      <c r="B18" s="96" t="s">
        <v>649</v>
      </c>
      <c r="C18" s="113" t="n">
        <v>35</v>
      </c>
      <c r="D18" s="97" t="n">
        <v>1</v>
      </c>
      <c r="E18" s="97" t="n">
        <v>2</v>
      </c>
      <c r="F18" s="97" t="n">
        <v>3</v>
      </c>
      <c r="G18" s="97" t="n">
        <v>5</v>
      </c>
      <c r="H18" s="97" t="n">
        <v>6</v>
      </c>
      <c r="I18" s="97" t="n">
        <v>7</v>
      </c>
      <c r="J18" s="97" t="n">
        <v>7</v>
      </c>
      <c r="K18" s="97" t="n">
        <v>8</v>
      </c>
      <c r="L18" s="97" t="n">
        <v>8</v>
      </c>
      <c r="M18" s="97" t="n">
        <v>9</v>
      </c>
    </row>
    <row r="19" customFormat="false" ht="15" hidden="false" customHeight="true" outlineLevel="0" collapsed="false">
      <c r="B19" s="96" t="s">
        <v>650</v>
      </c>
      <c r="C19" s="113" t="n">
        <v>16</v>
      </c>
      <c r="D19" s="97" t="n">
        <v>3</v>
      </c>
      <c r="E19" s="97" t="n">
        <v>6</v>
      </c>
      <c r="F19" s="97" t="n">
        <v>9</v>
      </c>
      <c r="G19" s="97" t="n">
        <v>11</v>
      </c>
      <c r="H19" s="97" t="n">
        <v>12</v>
      </c>
      <c r="I19" s="97" t="n">
        <v>13</v>
      </c>
      <c r="J19" s="97" t="n">
        <v>14</v>
      </c>
      <c r="K19" s="97" t="n">
        <v>14</v>
      </c>
      <c r="L19" s="97" t="n">
        <v>15</v>
      </c>
      <c r="M19" s="97" t="n">
        <v>15</v>
      </c>
    </row>
    <row r="20" customFormat="false" ht="15" hidden="false" customHeight="true" outlineLevel="0" collapsed="false">
      <c r="B20" s="96" t="s">
        <v>651</v>
      </c>
      <c r="C20" s="113" t="n">
        <v>12</v>
      </c>
      <c r="D20" s="97" t="n">
        <v>0</v>
      </c>
      <c r="E20" s="97" t="n">
        <v>1</v>
      </c>
      <c r="F20" s="97" t="n">
        <v>2</v>
      </c>
      <c r="G20" s="97" t="n">
        <v>3</v>
      </c>
      <c r="H20" s="97" t="n">
        <v>4</v>
      </c>
      <c r="I20" s="97" t="n">
        <v>4</v>
      </c>
      <c r="J20" s="97" t="n">
        <v>5</v>
      </c>
      <c r="K20" s="97" t="n">
        <v>5</v>
      </c>
      <c r="L20" s="97" t="n">
        <v>5</v>
      </c>
      <c r="M20" s="97" t="n">
        <v>5</v>
      </c>
    </row>
    <row r="21" customFormat="false" ht="15" hidden="false" customHeight="true" outlineLevel="0" collapsed="false">
      <c r="B21" s="96" t="s">
        <v>652</v>
      </c>
      <c r="C21" s="113" t="n">
        <v>22</v>
      </c>
      <c r="D21" s="97" t="n">
        <v>3</v>
      </c>
      <c r="E21" s="97" t="n">
        <v>7</v>
      </c>
      <c r="F21" s="97" t="n">
        <v>11</v>
      </c>
      <c r="G21" s="97" t="n">
        <v>17</v>
      </c>
      <c r="H21" s="97" t="n">
        <v>22</v>
      </c>
      <c r="I21" s="97" t="n">
        <v>29</v>
      </c>
      <c r="J21" s="97" t="n">
        <v>36</v>
      </c>
      <c r="K21" s="97" t="n">
        <v>38</v>
      </c>
      <c r="L21" s="97" t="n">
        <v>40</v>
      </c>
      <c r="M21" s="97" t="n">
        <v>40</v>
      </c>
    </row>
    <row r="22" customFormat="false" ht="15" hidden="false" customHeight="true" outlineLevel="0" collapsed="false">
      <c r="B22" s="96" t="s">
        <v>653</v>
      </c>
      <c r="C22" s="113" t="n">
        <v>11</v>
      </c>
      <c r="D22" s="97" t="n">
        <v>8</v>
      </c>
      <c r="E22" s="97" t="n">
        <v>18</v>
      </c>
      <c r="F22" s="97" t="n">
        <v>29</v>
      </c>
      <c r="G22" s="97" t="n">
        <v>45</v>
      </c>
      <c r="H22" s="97" t="n">
        <v>64</v>
      </c>
      <c r="I22" s="97" t="n">
        <v>86</v>
      </c>
      <c r="J22" s="97" t="n">
        <v>110</v>
      </c>
      <c r="K22" s="97" t="n">
        <v>120</v>
      </c>
      <c r="L22" s="97" t="n">
        <v>128</v>
      </c>
      <c r="M22" s="97" t="n">
        <v>136</v>
      </c>
    </row>
    <row r="23" customFormat="false" ht="15" hidden="false" customHeight="true" outlineLevel="0" collapsed="false">
      <c r="B23" s="96" t="s">
        <v>654</v>
      </c>
      <c r="C23" s="113" t="n">
        <v>9</v>
      </c>
      <c r="D23" s="97" t="n">
        <v>3</v>
      </c>
      <c r="E23" s="97" t="n">
        <v>6</v>
      </c>
      <c r="F23" s="97" t="n">
        <v>8</v>
      </c>
      <c r="G23" s="97" t="n">
        <v>13</v>
      </c>
      <c r="H23" s="97" t="n">
        <v>16</v>
      </c>
      <c r="I23" s="97" t="n">
        <v>20</v>
      </c>
      <c r="J23" s="97" t="n">
        <v>24</v>
      </c>
      <c r="K23" s="97" t="n">
        <v>24</v>
      </c>
      <c r="L23" s="97" t="n">
        <v>26</v>
      </c>
      <c r="M23" s="97" t="n">
        <v>26</v>
      </c>
    </row>
    <row r="24" customFormat="false" ht="15" hidden="false" customHeight="true" outlineLevel="0" collapsed="false">
      <c r="B24" s="96" t="s">
        <v>655</v>
      </c>
      <c r="C24" s="113" t="n">
        <v>11</v>
      </c>
      <c r="D24" s="97" t="n">
        <v>2</v>
      </c>
      <c r="E24" s="97" t="n">
        <v>6</v>
      </c>
      <c r="F24" s="97" t="n">
        <v>11</v>
      </c>
      <c r="G24" s="97" t="n">
        <v>18</v>
      </c>
      <c r="H24" s="97" t="n">
        <v>27</v>
      </c>
      <c r="I24" s="97" t="n">
        <v>38</v>
      </c>
      <c r="J24" s="97" t="n">
        <v>48</v>
      </c>
      <c r="K24" s="97" t="n">
        <v>54</v>
      </c>
      <c r="L24" s="97" t="n">
        <v>58</v>
      </c>
      <c r="M24" s="97" t="n">
        <v>60</v>
      </c>
    </row>
    <row r="25" customFormat="false" ht="15" hidden="false" customHeight="true" outlineLevel="0" collapsed="false">
      <c r="B25" s="96" t="s">
        <v>656</v>
      </c>
      <c r="C25" s="113" t="n">
        <v>12</v>
      </c>
      <c r="D25" s="97" t="n">
        <v>3</v>
      </c>
      <c r="E25" s="97" t="n">
        <v>5</v>
      </c>
      <c r="F25" s="97" t="n">
        <v>7</v>
      </c>
      <c r="G25" s="97" t="n">
        <v>9</v>
      </c>
      <c r="H25" s="97" t="n">
        <v>10</v>
      </c>
      <c r="I25" s="97" t="n">
        <v>11</v>
      </c>
      <c r="J25" s="97" t="n">
        <v>12</v>
      </c>
      <c r="K25" s="97" t="n">
        <v>13</v>
      </c>
      <c r="L25" s="97" t="n">
        <v>14</v>
      </c>
      <c r="M25" s="97" t="n">
        <v>14</v>
      </c>
    </row>
    <row r="26" customFormat="false" ht="15" hidden="false" customHeight="true" outlineLevel="0" collapsed="false">
      <c r="B26" s="96" t="s">
        <v>657</v>
      </c>
      <c r="C26" s="113" t="n">
        <v>22</v>
      </c>
      <c r="D26" s="97" t="n">
        <v>2</v>
      </c>
      <c r="E26" s="97" t="n">
        <v>4</v>
      </c>
      <c r="F26" s="97" t="n">
        <v>6</v>
      </c>
      <c r="G26" s="97" t="n">
        <v>7</v>
      </c>
      <c r="H26" s="97" t="n">
        <v>8</v>
      </c>
      <c r="I26" s="97" t="n">
        <v>9</v>
      </c>
      <c r="J26" s="97" t="n">
        <v>10</v>
      </c>
      <c r="K26" s="97" t="n">
        <v>11</v>
      </c>
      <c r="L26" s="97" t="n">
        <v>11</v>
      </c>
      <c r="M26" s="97" t="n">
        <v>12</v>
      </c>
    </row>
    <row r="27" customFormat="false" ht="15" hidden="false" customHeight="true" outlineLevel="0" collapsed="false">
      <c r="B27" s="96" t="s">
        <v>658</v>
      </c>
      <c r="C27" s="113" t="n">
        <v>22</v>
      </c>
      <c r="D27" s="97" t="n">
        <v>1</v>
      </c>
      <c r="E27" s="97" t="n">
        <v>2</v>
      </c>
      <c r="F27" s="97" t="n">
        <v>3</v>
      </c>
      <c r="G27" s="97" t="n">
        <v>4</v>
      </c>
      <c r="H27" s="97" t="n">
        <v>5</v>
      </c>
      <c r="I27" s="97" t="n">
        <v>5</v>
      </c>
      <c r="J27" s="97" t="n">
        <v>6</v>
      </c>
      <c r="K27" s="97" t="n">
        <v>6</v>
      </c>
      <c r="L27" s="97" t="n">
        <v>7</v>
      </c>
      <c r="M27" s="97" t="n">
        <v>7</v>
      </c>
    </row>
    <row r="28" customFormat="false" ht="15" hidden="false" customHeight="true" outlineLevel="0" collapsed="false">
      <c r="B28" s="96" t="s">
        <v>659</v>
      </c>
      <c r="C28" s="113" t="n">
        <v>20</v>
      </c>
      <c r="D28" s="97" t="n">
        <v>5</v>
      </c>
      <c r="E28" s="97" t="n">
        <v>6</v>
      </c>
      <c r="F28" s="97" t="n">
        <v>7</v>
      </c>
      <c r="G28" s="97" t="n">
        <v>8</v>
      </c>
      <c r="H28" s="97" t="n">
        <v>8</v>
      </c>
      <c r="I28" s="97" t="n">
        <v>9</v>
      </c>
      <c r="J28" s="97" t="n">
        <v>9</v>
      </c>
      <c r="K28" s="97" t="n">
        <v>10</v>
      </c>
      <c r="L28" s="97" t="n">
        <v>10</v>
      </c>
      <c r="M28" s="97" t="n">
        <v>10</v>
      </c>
    </row>
    <row r="29" customFormat="false" ht="15" hidden="false" customHeight="true" outlineLevel="0" collapsed="false">
      <c r="B29" s="96" t="s">
        <v>660</v>
      </c>
      <c r="C29" s="113" t="n">
        <v>32</v>
      </c>
      <c r="D29" s="97" t="n">
        <v>2</v>
      </c>
      <c r="E29" s="97" t="n">
        <v>3</v>
      </c>
      <c r="F29" s="97" t="n">
        <v>4</v>
      </c>
      <c r="G29" s="97" t="n">
        <v>5</v>
      </c>
      <c r="H29" s="97" t="n">
        <v>6</v>
      </c>
      <c r="I29" s="97" t="n">
        <v>6</v>
      </c>
      <c r="J29" s="97" t="n">
        <v>7</v>
      </c>
      <c r="K29" s="97" t="n">
        <v>7</v>
      </c>
      <c r="L29" s="97" t="n">
        <v>8</v>
      </c>
      <c r="M29" s="97" t="n">
        <v>8</v>
      </c>
    </row>
    <row r="30" customFormat="false" ht="15" hidden="false" customHeight="true" outlineLevel="0" collapsed="false">
      <c r="B30" s="96" t="s">
        <v>661</v>
      </c>
      <c r="C30" s="113" t="n">
        <v>9</v>
      </c>
      <c r="D30" s="97" t="n">
        <v>1</v>
      </c>
      <c r="E30" s="97" t="n">
        <v>2</v>
      </c>
      <c r="F30" s="97" t="n">
        <v>3</v>
      </c>
      <c r="G30" s="97" t="n">
        <v>4</v>
      </c>
      <c r="H30" s="97" t="n">
        <v>5</v>
      </c>
      <c r="I30" s="97" t="n">
        <v>5</v>
      </c>
      <c r="J30" s="97" t="n">
        <v>6</v>
      </c>
      <c r="K30" s="97" t="n">
        <v>6</v>
      </c>
      <c r="L30" s="97" t="n">
        <v>6</v>
      </c>
      <c r="M30" s="97" t="n">
        <v>6</v>
      </c>
    </row>
    <row r="31" customFormat="false" ht="15" hidden="false" customHeight="true" outlineLevel="0" collapsed="false">
      <c r="B31" s="96" t="s">
        <v>662</v>
      </c>
      <c r="C31" s="113" t="n">
        <v>10</v>
      </c>
      <c r="D31" s="97" t="n">
        <v>1</v>
      </c>
      <c r="E31" s="97" t="n">
        <v>2</v>
      </c>
      <c r="F31" s="97" t="n">
        <v>2</v>
      </c>
      <c r="G31" s="97" t="n">
        <v>3</v>
      </c>
      <c r="H31" s="97" t="n">
        <v>3</v>
      </c>
      <c r="I31" s="97" t="n">
        <v>4</v>
      </c>
      <c r="J31" s="97" t="n">
        <v>4</v>
      </c>
      <c r="K31" s="97" t="n">
        <v>4</v>
      </c>
      <c r="L31" s="97" t="n">
        <v>4</v>
      </c>
      <c r="M31" s="97" t="n">
        <v>4</v>
      </c>
    </row>
    <row r="32" customFormat="false" ht="15" hidden="false" customHeight="true" outlineLevel="0" collapsed="false">
      <c r="B32" s="96" t="s">
        <v>663</v>
      </c>
      <c r="C32" s="113" t="n">
        <v>12</v>
      </c>
      <c r="D32" s="97" t="n">
        <v>2</v>
      </c>
      <c r="E32" s="97" t="n">
        <v>3</v>
      </c>
      <c r="F32" s="97" t="n">
        <v>3</v>
      </c>
      <c r="G32" s="97" t="n">
        <v>4</v>
      </c>
      <c r="H32" s="97" t="n">
        <v>4</v>
      </c>
      <c r="I32" s="97" t="n">
        <v>5</v>
      </c>
      <c r="J32" s="97" t="n">
        <v>5</v>
      </c>
      <c r="K32" s="97" t="n">
        <v>5</v>
      </c>
      <c r="L32" s="97" t="n">
        <v>6</v>
      </c>
      <c r="M32" s="97" t="n">
        <v>6</v>
      </c>
    </row>
    <row r="33" customFormat="false" ht="15" hidden="false" customHeight="true" outlineLevel="0" collapsed="false">
      <c r="B33" s="96" t="s">
        <v>664</v>
      </c>
      <c r="C33" s="113" t="n">
        <v>12</v>
      </c>
      <c r="D33" s="97" t="n">
        <v>2</v>
      </c>
      <c r="E33" s="97" t="n">
        <v>3</v>
      </c>
      <c r="F33" s="97" t="n">
        <v>4</v>
      </c>
      <c r="G33" s="97" t="n">
        <v>5</v>
      </c>
      <c r="H33" s="97" t="n">
        <v>6</v>
      </c>
      <c r="I33" s="97" t="n">
        <v>6</v>
      </c>
      <c r="J33" s="97" t="n">
        <v>7</v>
      </c>
      <c r="K33" s="97" t="n">
        <v>7</v>
      </c>
      <c r="L33" s="97" t="n">
        <v>8</v>
      </c>
      <c r="M33" s="97" t="n">
        <v>8</v>
      </c>
    </row>
    <row r="34" customFormat="false" ht="15" hidden="false" customHeight="true" outlineLevel="0" collapsed="false">
      <c r="B34" s="53" t="s">
        <v>83</v>
      </c>
      <c r="C34" s="1" t="n">
        <v>18</v>
      </c>
      <c r="D34" s="100" t="n">
        <f aca="false">SUM(D6:D33)</f>
        <v>91</v>
      </c>
      <c r="E34" s="100" t="n">
        <f aca="false">SUM(E6:E33)</f>
        <v>156</v>
      </c>
      <c r="F34" s="100" t="n">
        <f aca="false">SUM(F6:F33)</f>
        <v>216</v>
      </c>
      <c r="G34" s="100" t="n">
        <f aca="false">SUM(G6:G33)</f>
        <v>287</v>
      </c>
      <c r="H34" s="100" t="n">
        <f aca="false">SUM(H6:H33)</f>
        <v>349</v>
      </c>
      <c r="I34" s="100" t="n">
        <f aca="false">SUM(I6:I33)</f>
        <v>414</v>
      </c>
      <c r="J34" s="100" t="n">
        <f aca="false">SUM(J6:J33)</f>
        <v>475</v>
      </c>
      <c r="K34" s="100" t="n">
        <f aca="false">SUM(K6:K33)</f>
        <v>506</v>
      </c>
      <c r="L34" s="100" t="n">
        <f aca="false">SUM(L6:L33)</f>
        <v>530</v>
      </c>
      <c r="M34" s="100" t="n">
        <f aca="false">SUM(M6:M33)</f>
        <v>543</v>
      </c>
    </row>
    <row r="36" customFormat="false" ht="21.75" hidden="false" customHeight="true" outlineLevel="0" collapsed="false">
      <c r="B36" s="6" t="s">
        <v>665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customFormat="false" ht="15" hidden="false" customHeight="true" outlineLevel="0" collapsed="false">
      <c r="B37" s="96" t="s">
        <v>666</v>
      </c>
      <c r="C37" s="54" t="s">
        <v>667</v>
      </c>
      <c r="D37" s="25" t="n">
        <f aca="false">C6*(1+Assumptions!$C$9)^0*D6/100</f>
        <v>1.8</v>
      </c>
      <c r="E37" s="25" t="n">
        <f aca="false">C6*(1+Assumptions!$C$9)^1*E6/100</f>
        <v>2.6208</v>
      </c>
      <c r="F37" s="25" t="n">
        <f aca="false">C6*(1+Assumptions!$C$9)^2*F6/100</f>
        <v>3.309696</v>
      </c>
      <c r="G37" s="25" t="n">
        <f aca="false">C6*(1+Assumptions!$C$9)^3*G6/100</f>
        <v>3.84703488</v>
      </c>
      <c r="H37" s="25" t="n">
        <f aca="false">C6*(1+Assumptions!$C$9)^4*H6/100</f>
        <v>4.211490816</v>
      </c>
      <c r="I37" s="25" t="n">
        <f aca="false">C6*(1+Assumptions!$C$9)^5*I6/100</f>
        <v>4.598947971072</v>
      </c>
      <c r="J37" s="25" t="n">
        <f aca="false">C6*(1+Assumptions!$C$9)^6*J6/100</f>
        <v>5.01066331324416</v>
      </c>
      <c r="K37" s="25" t="n">
        <f aca="false">C6*(1+Assumptions!$C$9)^7*K6/100</f>
        <v>5.21108984577393</v>
      </c>
      <c r="L37" s="25" t="n">
        <f aca="false">C6*(1+Assumptions!$C$9)^8*L6/100</f>
        <v>5.41953343960489</v>
      </c>
      <c r="M37" s="25" t="n">
        <f aca="false">C6*(1+Assumptions!$C$9)^9*M6/100</f>
        <v>5.63631477718908</v>
      </c>
    </row>
    <row r="38" customFormat="false" ht="15" hidden="false" customHeight="true" outlineLevel="0" collapsed="false">
      <c r="B38" s="96" t="s">
        <v>668</v>
      </c>
      <c r="C38" s="54" t="s">
        <v>667</v>
      </c>
      <c r="D38" s="25" t="n">
        <f aca="false">C7*(1+Assumptions!$C$9)^0*D7/100</f>
        <v>2</v>
      </c>
      <c r="E38" s="25" t="n">
        <f aca="false">C7*(1+Assumptions!$C$9)^1*E7/100</f>
        <v>2.86</v>
      </c>
      <c r="F38" s="25" t="n">
        <f aca="false">C7*(1+Assumptions!$C$9)^2*F7/100</f>
        <v>3.5152</v>
      </c>
      <c r="G38" s="25" t="n">
        <f aca="false">C7*(1+Assumptions!$C$9)^3*G7/100</f>
        <v>4.21824</v>
      </c>
      <c r="H38" s="25" t="n">
        <f aca="false">C7*(1+Assumptions!$C$9)^4*H7/100</f>
        <v>4.67943424</v>
      </c>
      <c r="I38" s="25" t="n">
        <f aca="false">C7*(1+Assumptions!$C$9)^5*I7/100</f>
        <v>5.1707748352</v>
      </c>
      <c r="J38" s="25" t="n">
        <f aca="false">C7*(1+Assumptions!$C$9)^6*J7/100</f>
        <v>5.377605828608</v>
      </c>
      <c r="K38" s="25" t="n">
        <f aca="false">C7*(1+Assumptions!$C$9)^7*K7/100</f>
        <v>5.92169300656128</v>
      </c>
      <c r="L38" s="25" t="n">
        <f aca="false">C7*(1+Assumptions!$C$9)^8*L7/100</f>
        <v>6.15856072682373</v>
      </c>
      <c r="M38" s="25" t="n">
        <f aca="false">C7*(1+Assumptions!$C$9)^9*M7/100</f>
        <v>6.40490315589668</v>
      </c>
    </row>
    <row r="39" customFormat="false" ht="15" hidden="false" customHeight="true" outlineLevel="0" collapsed="false">
      <c r="B39" s="96" t="s">
        <v>669</v>
      </c>
      <c r="C39" s="54" t="s">
        <v>667</v>
      </c>
      <c r="D39" s="25" t="n">
        <f aca="false">C8*(1+Assumptions!$C$9)^0*D8/100</f>
        <v>1.12</v>
      </c>
      <c r="E39" s="25" t="n">
        <f aca="false">C8*(1+Assumptions!$C$9)^1*E8/100</f>
        <v>1.7472</v>
      </c>
      <c r="F39" s="25" t="n">
        <f aca="false">C8*(1+Assumptions!$C$9)^2*F8/100</f>
        <v>2.119936</v>
      </c>
      <c r="G39" s="25" t="n">
        <f aca="false">C8*(1+Assumptions!$C$9)^3*G8/100</f>
        <v>2.51969536</v>
      </c>
      <c r="H39" s="25" t="n">
        <f aca="false">C8*(1+Assumptions!$C$9)^4*H8/100</f>
        <v>2.9480435712</v>
      </c>
      <c r="I39" s="25" t="n">
        <f aca="false">C8*(1+Assumptions!$C$9)^5*I8/100</f>
        <v>3.065965314048</v>
      </c>
      <c r="J39" s="25" t="n">
        <f aca="false">C8*(1+Assumptions!$C$9)^6*J8/100</f>
        <v>3.5428932517888</v>
      </c>
      <c r="K39" s="25" t="n">
        <f aca="false">C8*(1+Assumptions!$C$9)^7*K8/100</f>
        <v>3.68460898186035</v>
      </c>
      <c r="L39" s="25" t="n">
        <f aca="false">C8*(1+Assumptions!$C$9)^8*L8/100</f>
        <v>3.83199334113477</v>
      </c>
      <c r="M39" s="25" t="n">
        <f aca="false">C8*(1+Assumptions!$C$9)^9*M8/100</f>
        <v>3.98527307478016</v>
      </c>
    </row>
    <row r="40" customFormat="false" ht="15" hidden="false" customHeight="true" outlineLevel="0" collapsed="false">
      <c r="B40" s="96" t="s">
        <v>670</v>
      </c>
      <c r="C40" s="54" t="s">
        <v>667</v>
      </c>
      <c r="D40" s="25" t="n">
        <f aca="false">C9*(1+Assumptions!$C$9)^0*D9/100</f>
        <v>1.26</v>
      </c>
      <c r="E40" s="25" t="n">
        <f aca="false">C9*(1+Assumptions!$C$9)^1*E9/100</f>
        <v>1.872</v>
      </c>
      <c r="F40" s="25" t="n">
        <f aca="false">C9*(1+Assumptions!$C$9)^2*F9/100</f>
        <v>2.336256</v>
      </c>
      <c r="G40" s="25" t="n">
        <f aca="false">C9*(1+Assumptions!$C$9)^3*G9/100</f>
        <v>2.63218176</v>
      </c>
      <c r="H40" s="25" t="n">
        <f aca="false">C9*(1+Assumptions!$C$9)^4*H9/100</f>
        <v>2.9480435712</v>
      </c>
      <c r="I40" s="25" t="n">
        <f aca="false">C9*(1+Assumptions!$C$9)^5*I9/100</f>
        <v>3.28496283648</v>
      </c>
      <c r="J40" s="25" t="n">
        <f aca="false">C9*(1+Assumptions!$C$9)^6*J9/100</f>
        <v>3.64411877326848</v>
      </c>
      <c r="K40" s="25" t="n">
        <f aca="false">C9*(1+Assumptions!$C$9)^7*K9/100</f>
        <v>3.78988352419922</v>
      </c>
      <c r="L40" s="25" t="n">
        <f aca="false">C9*(1+Assumptions!$C$9)^8*L9/100</f>
        <v>4.18782129424014</v>
      </c>
      <c r="M40" s="25" t="n">
        <f aca="false">C9*(1+Assumptions!$C$9)^9*M9/100</f>
        <v>4.35533414600974</v>
      </c>
    </row>
    <row r="41" customFormat="false" ht="15" hidden="false" customHeight="true" outlineLevel="0" collapsed="false">
      <c r="B41" s="96" t="s">
        <v>671</v>
      </c>
      <c r="C41" s="54" t="s">
        <v>667</v>
      </c>
      <c r="D41" s="25" t="n">
        <f aca="false">C10*(1+Assumptions!$C$9)^0*D10/100</f>
        <v>0.9</v>
      </c>
      <c r="E41" s="25" t="n">
        <f aca="false">C10*(1+Assumptions!$C$9)^1*E10/100</f>
        <v>1.4976</v>
      </c>
      <c r="F41" s="25" t="n">
        <f aca="false">C10*(1+Assumptions!$C$9)^2*F10/100</f>
        <v>1.94688</v>
      </c>
      <c r="G41" s="25" t="n">
        <f aca="false">C10*(1+Assumptions!$C$9)^3*G10/100</f>
        <v>2.42970624</v>
      </c>
      <c r="H41" s="25" t="n">
        <f aca="false">C10*(1+Assumptions!$C$9)^4*H10/100</f>
        <v>2.7374690304</v>
      </c>
      <c r="I41" s="25" t="n">
        <f aca="false">C10*(1+Assumptions!$C$9)^5*I10/100</f>
        <v>3.065965314048</v>
      </c>
      <c r="J41" s="25" t="n">
        <f aca="false">C10*(1+Assumptions!$C$9)^6*J10/100</f>
        <v>3.18860392660992</v>
      </c>
      <c r="K41" s="25" t="n">
        <f aca="false">C10*(1+Assumptions!$C$9)^7*K10/100</f>
        <v>3.55301580393677</v>
      </c>
      <c r="L41" s="25" t="n">
        <f aca="false">C10*(1+Assumptions!$C$9)^8*L10/100</f>
        <v>3.69513643609424</v>
      </c>
      <c r="M41" s="25" t="n">
        <f aca="false">C10*(1+Assumptions!$C$9)^9*M10/100</f>
        <v>3.84294189353801</v>
      </c>
    </row>
    <row r="42" customFormat="false" ht="15" hidden="false" customHeight="true" outlineLevel="0" collapsed="false">
      <c r="B42" s="96" t="s">
        <v>672</v>
      </c>
      <c r="C42" s="54" t="s">
        <v>667</v>
      </c>
      <c r="D42" s="25" t="n">
        <f aca="false">C11*(1+Assumptions!$C$9)^0*D11/100</f>
        <v>0.72</v>
      </c>
      <c r="E42" s="25" t="n">
        <f aca="false">C11*(1+Assumptions!$C$9)^1*E11/100</f>
        <v>1.1232</v>
      </c>
      <c r="F42" s="25" t="n">
        <f aca="false">C11*(1+Assumptions!$C$9)^2*F11/100</f>
        <v>1.557504</v>
      </c>
      <c r="G42" s="25" t="n">
        <f aca="false">C11*(1+Assumptions!$C$9)^3*G11/100</f>
        <v>1.82227968</v>
      </c>
      <c r="H42" s="25" t="n">
        <f aca="false">C11*(1+Assumptions!$C$9)^4*H11/100</f>
        <v>2.105745408</v>
      </c>
      <c r="I42" s="25" t="n">
        <f aca="false">C11*(1+Assumptions!$C$9)^5*I11/100</f>
        <v>2.408972746752</v>
      </c>
      <c r="J42" s="25" t="n">
        <f aca="false">C11*(1+Assumptions!$C$9)^6*J11/100</f>
        <v>2.50533165662208</v>
      </c>
      <c r="K42" s="25" t="n">
        <f aca="false">C11*(1+Assumptions!$C$9)^7*K11/100</f>
        <v>2.84241264314941</v>
      </c>
      <c r="L42" s="25" t="n">
        <f aca="false">C11*(1+Assumptions!$C$9)^8*L11/100</f>
        <v>2.95610914887539</v>
      </c>
      <c r="M42" s="25" t="n">
        <f aca="false">C11*(1+Assumptions!$C$9)^9*M11/100</f>
        <v>3.07435351483041</v>
      </c>
    </row>
    <row r="43" customFormat="false" ht="15" hidden="false" customHeight="true" outlineLevel="0" collapsed="false">
      <c r="B43" s="96" t="s">
        <v>673</v>
      </c>
      <c r="C43" s="54" t="s">
        <v>667</v>
      </c>
      <c r="D43" s="25" t="n">
        <f aca="false">C12*(1+Assumptions!$C$9)^0*D12/100</f>
        <v>0</v>
      </c>
      <c r="E43" s="25" t="n">
        <f aca="false">C12*(1+Assumptions!$C$9)^1*E12/100</f>
        <v>0.2288</v>
      </c>
      <c r="F43" s="25" t="n">
        <f aca="false">C12*(1+Assumptions!$C$9)^2*F12/100</f>
        <v>0.713856</v>
      </c>
      <c r="G43" s="25" t="n">
        <f aca="false">C12*(1+Assumptions!$C$9)^3*G12/100</f>
        <v>1.48482048</v>
      </c>
      <c r="H43" s="25" t="n">
        <f aca="false">C12*(1+Assumptions!$C$9)^4*H12/100</f>
        <v>2.3163199488</v>
      </c>
      <c r="I43" s="25" t="n">
        <f aca="false">C12*(1+Assumptions!$C$9)^5*I12/100</f>
        <v>2.944300023808</v>
      </c>
      <c r="J43" s="25" t="n">
        <f aca="false">C12*(1+Assumptions!$C$9)^6*J12/100</f>
        <v>3.34044220882944</v>
      </c>
      <c r="K43" s="25" t="n">
        <f aca="false">C12*(1+Assumptions!$C$9)^7*K12/100</f>
        <v>3.7635648886145</v>
      </c>
      <c r="L43" s="25" t="n">
        <f aca="false">C12*(1+Assumptions!$C$9)^8*L12/100</f>
        <v>3.91410748415908</v>
      </c>
      <c r="M43" s="25" t="n">
        <f aca="false">C12*(1+Assumptions!$C$9)^9*M12/100</f>
        <v>4.07067178352545</v>
      </c>
    </row>
    <row r="44" customFormat="false" ht="15" hidden="false" customHeight="true" outlineLevel="0" collapsed="false">
      <c r="B44" s="96" t="s">
        <v>674</v>
      </c>
      <c r="C44" s="54" t="s">
        <v>667</v>
      </c>
      <c r="D44" s="25" t="n">
        <f aca="false">C13*(1+Assumptions!$C$9)^0*D13/100</f>
        <v>0</v>
      </c>
      <c r="E44" s="25" t="n">
        <f aca="false">C13*(1+Assumptions!$C$9)^1*E13/100</f>
        <v>0.3328</v>
      </c>
      <c r="F44" s="25" t="n">
        <f aca="false">C13*(1+Assumptions!$C$9)^2*F13/100</f>
        <v>1.038336</v>
      </c>
      <c r="G44" s="25" t="n">
        <f aca="false">C13*(1+Assumptions!$C$9)^3*G13/100</f>
        <v>1.7997824</v>
      </c>
      <c r="H44" s="25" t="n">
        <f aca="false">C13*(1+Assumptions!$C$9)^4*H13/100</f>
        <v>2.6204831744</v>
      </c>
      <c r="I44" s="25" t="n">
        <f aca="false">C13*(1+Assumptions!$C$9)^5*I13/100</f>
        <v>3.503960358912</v>
      </c>
      <c r="J44" s="25" t="n">
        <f aca="false">C13*(1+Assumptions!$C$9)^6*J13/100</f>
        <v>4.0490208591872</v>
      </c>
      <c r="K44" s="25" t="n">
        <f aca="false">C13*(1+Assumptions!$C$9)^7*K13/100</f>
        <v>4.63207986291016</v>
      </c>
      <c r="L44" s="25" t="n">
        <f aca="false">C13*(1+Assumptions!$C$9)^8*L13/100</f>
        <v>4.81736305742656</v>
      </c>
      <c r="M44" s="25" t="n">
        <f aca="false">C13*(1+Assumptions!$C$9)^9*M13/100</f>
        <v>5.01005757972363</v>
      </c>
    </row>
    <row r="45" customFormat="false" ht="15" hidden="false" customHeight="true" outlineLevel="0" collapsed="false">
      <c r="B45" s="96" t="s">
        <v>675</v>
      </c>
      <c r="C45" s="54" t="s">
        <v>667</v>
      </c>
      <c r="D45" s="25" t="n">
        <f aca="false">C14*(1+Assumptions!$C$9)^0*D14/100</f>
        <v>0.64</v>
      </c>
      <c r="E45" s="25" t="n">
        <f aca="false">C14*(1+Assumptions!$C$9)^1*E14/100</f>
        <v>1.3312</v>
      </c>
      <c r="F45" s="25" t="n">
        <f aca="false">C14*(1+Assumptions!$C$9)^2*F14/100</f>
        <v>2.076672</v>
      </c>
      <c r="G45" s="25" t="n">
        <f aca="false">C14*(1+Assumptions!$C$9)^3*G14/100</f>
        <v>3.23960832</v>
      </c>
      <c r="H45" s="25" t="n">
        <f aca="false">C14*(1+Assumptions!$C$9)^4*H14/100</f>
        <v>4.1179021312</v>
      </c>
      <c r="I45" s="25" t="n">
        <f aca="false">C14*(1+Assumptions!$C$9)^5*I14/100</f>
        <v>4.671947145216</v>
      </c>
      <c r="J45" s="25" t="n">
        <f aca="false">C14*(1+Assumptions!$C$9)^6*J14/100</f>
        <v>5.26372711694336</v>
      </c>
      <c r="K45" s="25" t="n">
        <f aca="false">C14*(1+Assumptions!$C$9)^7*K14/100</f>
        <v>5.89537437097657</v>
      </c>
      <c r="L45" s="25" t="n">
        <f aca="false">C14*(1+Assumptions!$C$9)^8*L14/100</f>
        <v>6.13118934581563</v>
      </c>
      <c r="M45" s="25" t="n">
        <f aca="false">C14*(1+Assumptions!$C$9)^9*M14/100</f>
        <v>6.37643691964825</v>
      </c>
    </row>
    <row r="46" customFormat="false" ht="15" hidden="false" customHeight="true" outlineLevel="0" collapsed="false">
      <c r="B46" s="96" t="s">
        <v>676</v>
      </c>
      <c r="C46" s="54" t="s">
        <v>667</v>
      </c>
      <c r="D46" s="25" t="n">
        <f aca="false">C15*(1+Assumptions!$C$9)^0*D15/100</f>
        <v>2.4</v>
      </c>
      <c r="E46" s="25" t="n">
        <f aca="false">C15*(1+Assumptions!$C$9)^1*E15/100</f>
        <v>3.744</v>
      </c>
      <c r="F46" s="25" t="n">
        <f aca="false">C15*(1+Assumptions!$C$9)^2*F15/100</f>
        <v>4.75904</v>
      </c>
      <c r="G46" s="25" t="n">
        <f aca="false">C15*(1+Assumptions!$C$9)^3*G15/100</f>
        <v>5.8492928</v>
      </c>
      <c r="H46" s="25" t="n">
        <f aca="false">C15*(1+Assumptions!$C$9)^4*H15/100</f>
        <v>6.551207936</v>
      </c>
      <c r="I46" s="25" t="n">
        <f aca="false">C15*(1+Assumptions!$C$9)^5*I15/100</f>
        <v>7.2999174144</v>
      </c>
      <c r="J46" s="25" t="n">
        <f aca="false">C15*(1+Assumptions!$C$9)^6*J15/100</f>
        <v>8.0980417183744</v>
      </c>
      <c r="K46" s="25" t="n">
        <f aca="false">C15*(1+Assumptions!$C$9)^7*K15/100</f>
        <v>8.94833609880371</v>
      </c>
      <c r="L46" s="25" t="n">
        <f aca="false">C15*(1+Assumptions!$C$9)^8*L15/100</f>
        <v>9.30626954275586</v>
      </c>
      <c r="M46" s="25" t="n">
        <f aca="false">C15*(1+Assumptions!$C$9)^9*M15/100</f>
        <v>9.6785203244661</v>
      </c>
    </row>
    <row r="47" customFormat="false" ht="15" hidden="false" customHeight="true" outlineLevel="0" collapsed="false">
      <c r="B47" s="96" t="s">
        <v>677</v>
      </c>
      <c r="C47" s="54" t="s">
        <v>667</v>
      </c>
      <c r="D47" s="25" t="n">
        <f aca="false">C16*(1+Assumptions!$C$9)^0*D16/100</f>
        <v>0.28</v>
      </c>
      <c r="E47" s="25" t="n">
        <f aca="false">C16*(1+Assumptions!$C$9)^1*E16/100</f>
        <v>0.4368</v>
      </c>
      <c r="F47" s="25" t="n">
        <f aca="false">C16*(1+Assumptions!$C$9)^2*F16/100</f>
        <v>0.605696</v>
      </c>
      <c r="G47" s="25" t="n">
        <f aca="false">C16*(1+Assumptions!$C$9)^3*G16/100</f>
        <v>0.7874048</v>
      </c>
      <c r="H47" s="25" t="n">
        <f aca="false">C16*(1+Assumptions!$C$9)^4*H16/100</f>
        <v>0.9826811904</v>
      </c>
      <c r="I47" s="25" t="n">
        <f aca="false">C16*(1+Assumptions!$C$9)^5*I16/100</f>
        <v>1.192319844352</v>
      </c>
      <c r="J47" s="25" t="n">
        <f aca="false">C16*(1+Assumptions!$C$9)^6*J16/100</f>
        <v>1.24001263812608</v>
      </c>
      <c r="K47" s="25" t="n">
        <f aca="false">C16*(1+Assumptions!$C$9)^7*K16/100</f>
        <v>1.47384359274414</v>
      </c>
      <c r="L47" s="25" t="n">
        <f aca="false">C16*(1+Assumptions!$C$9)^8*L16/100</f>
        <v>1.53279733645391</v>
      </c>
      <c r="M47" s="25" t="n">
        <f aca="false">C16*(1+Assumptions!$C$9)^9*M16/100</f>
        <v>1.59410922991206</v>
      </c>
    </row>
    <row r="48" customFormat="false" ht="15" hidden="false" customHeight="true" outlineLevel="0" collapsed="false">
      <c r="B48" s="96" t="s">
        <v>678</v>
      </c>
      <c r="C48" s="54" t="s">
        <v>667</v>
      </c>
      <c r="D48" s="25" t="n">
        <f aca="false">C17*(1+Assumptions!$C$9)^0*D17/100</f>
        <v>0.56</v>
      </c>
      <c r="E48" s="25" t="n">
        <f aca="false">C17*(1+Assumptions!$C$9)^1*E17/100</f>
        <v>1.0192</v>
      </c>
      <c r="F48" s="25" t="n">
        <f aca="false">C17*(1+Assumptions!$C$9)^2*F17/100</f>
        <v>1.51424</v>
      </c>
      <c r="G48" s="25" t="n">
        <f aca="false">C17*(1+Assumptions!$C$9)^3*G17/100</f>
        <v>1.88977152</v>
      </c>
      <c r="H48" s="25" t="n">
        <f aca="false">C17*(1+Assumptions!$C$9)^4*H17/100</f>
        <v>2.2929227776</v>
      </c>
      <c r="I48" s="25" t="n">
        <f aca="false">C17*(1+Assumptions!$C$9)^5*I17/100</f>
        <v>2.725302501376</v>
      </c>
      <c r="J48" s="25" t="n">
        <f aca="false">C17*(1+Assumptions!$C$9)^6*J17/100</f>
        <v>3.01145926402048</v>
      </c>
      <c r="K48" s="25" t="n">
        <f aca="false">C17*(1+Assumptions!$C$9)^7*K17/100</f>
        <v>3.31614808367432</v>
      </c>
      <c r="L48" s="25" t="n">
        <f aca="false">C17*(1+Assumptions!$C$9)^8*L17/100</f>
        <v>3.64039367407803</v>
      </c>
      <c r="M48" s="25" t="n">
        <f aca="false">C17*(1+Assumptions!$C$9)^9*M17/100</f>
        <v>3.98527307478016</v>
      </c>
    </row>
    <row r="49" customFormat="false" ht="15" hidden="false" customHeight="true" outlineLevel="0" collapsed="false">
      <c r="B49" s="96" t="s">
        <v>679</v>
      </c>
      <c r="C49" s="54" t="s">
        <v>667</v>
      </c>
      <c r="D49" s="25" t="n">
        <f aca="false">C18*(1+Assumptions!$C$9)^0*D18/100</f>
        <v>0.35</v>
      </c>
      <c r="E49" s="25" t="n">
        <f aca="false">C18*(1+Assumptions!$C$9)^1*E18/100</f>
        <v>0.728</v>
      </c>
      <c r="F49" s="25" t="n">
        <f aca="false">C18*(1+Assumptions!$C$9)^2*F18/100</f>
        <v>1.13568</v>
      </c>
      <c r="G49" s="25" t="n">
        <f aca="false">C18*(1+Assumptions!$C$9)^3*G18/100</f>
        <v>1.968512</v>
      </c>
      <c r="H49" s="25" t="n">
        <f aca="false">C18*(1+Assumptions!$C$9)^4*H18/100</f>
        <v>2.456702976</v>
      </c>
      <c r="I49" s="25" t="n">
        <f aca="false">C18*(1+Assumptions!$C$9)^5*I18/100</f>
        <v>2.98079961088</v>
      </c>
      <c r="J49" s="25" t="n">
        <f aca="false">C18*(1+Assumptions!$C$9)^6*J18/100</f>
        <v>3.1000315953152</v>
      </c>
      <c r="K49" s="25" t="n">
        <f aca="false">C18*(1+Assumptions!$C$9)^7*K18/100</f>
        <v>3.68460898186035</v>
      </c>
      <c r="L49" s="25" t="n">
        <f aca="false">C18*(1+Assumptions!$C$9)^8*L18/100</f>
        <v>3.83199334113477</v>
      </c>
      <c r="M49" s="25" t="n">
        <f aca="false">C18*(1+Assumptions!$C$9)^9*M18/100</f>
        <v>4.48343220912768</v>
      </c>
    </row>
    <row r="50" customFormat="false" ht="15" hidden="false" customHeight="true" outlineLevel="0" collapsed="false">
      <c r="B50" s="96" t="s">
        <v>680</v>
      </c>
      <c r="C50" s="54" t="s">
        <v>667</v>
      </c>
      <c r="D50" s="25" t="n">
        <f aca="false">C19*(1+Assumptions!$C$9)^0*D19/100</f>
        <v>0.48</v>
      </c>
      <c r="E50" s="25" t="n">
        <f aca="false">C19*(1+Assumptions!$C$9)^1*E19/100</f>
        <v>0.9984</v>
      </c>
      <c r="F50" s="25" t="n">
        <f aca="false">C19*(1+Assumptions!$C$9)^2*F19/100</f>
        <v>1.557504</v>
      </c>
      <c r="G50" s="25" t="n">
        <f aca="false">C19*(1+Assumptions!$C$9)^3*G19/100</f>
        <v>1.97976064</v>
      </c>
      <c r="H50" s="25" t="n">
        <f aca="false">C19*(1+Assumptions!$C$9)^4*H19/100</f>
        <v>2.2461284352</v>
      </c>
      <c r="I50" s="25" t="n">
        <f aca="false">C19*(1+Assumptions!$C$9)^5*I19/100</f>
        <v>2.530638036992</v>
      </c>
      <c r="J50" s="25" t="n">
        <f aca="false">C19*(1+Assumptions!$C$9)^6*J19/100</f>
        <v>2.83431460143104</v>
      </c>
      <c r="K50" s="25" t="n">
        <f aca="false">C19*(1+Assumptions!$C$9)^7*K19/100</f>
        <v>2.94768718548828</v>
      </c>
      <c r="L50" s="25" t="n">
        <f aca="false">C19*(1+Assumptions!$C$9)^8*L19/100</f>
        <v>3.28456572097266</v>
      </c>
      <c r="M50" s="25" t="n">
        <f aca="false">C19*(1+Assumptions!$C$9)^9*M19/100</f>
        <v>3.41594834981156</v>
      </c>
    </row>
    <row r="51" customFormat="false" ht="15" hidden="false" customHeight="true" outlineLevel="0" collapsed="false">
      <c r="B51" s="96" t="s">
        <v>681</v>
      </c>
      <c r="C51" s="54" t="s">
        <v>667</v>
      </c>
      <c r="D51" s="25" t="n">
        <f aca="false">C20*(1+Assumptions!$C$9)^0*D20/100</f>
        <v>0</v>
      </c>
      <c r="E51" s="25" t="n">
        <f aca="false">C20*(1+Assumptions!$C$9)^1*E20/100</f>
        <v>0.1248</v>
      </c>
      <c r="F51" s="25" t="n">
        <f aca="false">C20*(1+Assumptions!$C$9)^2*F20/100</f>
        <v>0.259584</v>
      </c>
      <c r="G51" s="25" t="n">
        <f aca="false">C20*(1+Assumptions!$C$9)^3*G20/100</f>
        <v>0.40495104</v>
      </c>
      <c r="H51" s="25" t="n">
        <f aca="false">C20*(1+Assumptions!$C$9)^4*H20/100</f>
        <v>0.5615321088</v>
      </c>
      <c r="I51" s="25" t="n">
        <f aca="false">C20*(1+Assumptions!$C$9)^5*I20/100</f>
        <v>0.583993393152</v>
      </c>
      <c r="J51" s="25" t="n">
        <f aca="false">C20*(1+Assumptions!$C$9)^6*J20/100</f>
        <v>0.7591914110976</v>
      </c>
      <c r="K51" s="25" t="n">
        <f aca="false">C20*(1+Assumptions!$C$9)^7*K20/100</f>
        <v>0.789559067541504</v>
      </c>
      <c r="L51" s="25" t="n">
        <f aca="false">C20*(1+Assumptions!$C$9)^8*L20/100</f>
        <v>0.821141430243164</v>
      </c>
      <c r="M51" s="25" t="n">
        <f aca="false">C20*(1+Assumptions!$C$9)^9*M20/100</f>
        <v>0.853987087452891</v>
      </c>
    </row>
    <row r="52" customFormat="false" ht="15" hidden="false" customHeight="true" outlineLevel="0" collapsed="false">
      <c r="B52" s="96" t="s">
        <v>682</v>
      </c>
      <c r="C52" s="54" t="s">
        <v>683</v>
      </c>
      <c r="D52" s="25" t="n">
        <f aca="false">C21*(1+Assumptions!$C$8)^0*D21/100</f>
        <v>0.66</v>
      </c>
      <c r="E52" s="25" t="n">
        <f aca="false">C21*(1+Assumptions!$C$8)^1*E21/100</f>
        <v>1.6016</v>
      </c>
      <c r="F52" s="25" t="n">
        <f aca="false">C21*(1+Assumptions!$C$8)^2*F21/100</f>
        <v>2.617472</v>
      </c>
      <c r="G52" s="25" t="n">
        <f aca="false">C21*(1+Assumptions!$C$8)^3*G21/100</f>
        <v>4.20699136</v>
      </c>
      <c r="H52" s="25" t="n">
        <f aca="false">C21*(1+Assumptions!$C$8)^4*H21/100</f>
        <v>5.6621154304</v>
      </c>
      <c r="I52" s="25" t="n">
        <f aca="false">C21*(1+Assumptions!$C$8)^5*I21/100</f>
        <v>7.762245517312</v>
      </c>
      <c r="J52" s="25" t="n">
        <f aca="false">C21*(1+Assumptions!$C$8)^6*J21/100</f>
        <v>10.0213266264883</v>
      </c>
      <c r="K52" s="25" t="n">
        <f aca="false">C21*(1+Assumptions!$C$8)^7*K21/100</f>
        <v>11.0011896744116</v>
      </c>
      <c r="L52" s="25" t="n">
        <f aca="false">C21*(1+Assumptions!$C$8)^8*L21/100</f>
        <v>12.0434076435664</v>
      </c>
      <c r="M52" s="25" t="n">
        <f aca="false">C21*(1+Assumptions!$C$8)^9*M21/100</f>
        <v>12.5251439493091</v>
      </c>
    </row>
    <row r="53" customFormat="false" ht="15" hidden="false" customHeight="true" outlineLevel="0" collapsed="false">
      <c r="B53" s="96" t="s">
        <v>684</v>
      </c>
      <c r="C53" s="54" t="s">
        <v>683</v>
      </c>
      <c r="D53" s="25" t="n">
        <f aca="false">C22*(1+Assumptions!$C$8)^0*D22/100</f>
        <v>0.88</v>
      </c>
      <c r="E53" s="25" t="n">
        <f aca="false">C22*(1+Assumptions!$C$8)^1*E22/100</f>
        <v>2.0592</v>
      </c>
      <c r="F53" s="25" t="n">
        <f aca="false">C22*(1+Assumptions!$C$8)^2*F22/100</f>
        <v>3.450304</v>
      </c>
      <c r="G53" s="25" t="n">
        <f aca="false">C22*(1+Assumptions!$C$8)^3*G22/100</f>
        <v>5.5680768</v>
      </c>
      <c r="H53" s="25" t="n">
        <f aca="false">C22*(1+Assumptions!$C$8)^4*H22/100</f>
        <v>8.2358042624</v>
      </c>
      <c r="I53" s="25" t="n">
        <f aca="false">C22*(1+Assumptions!$C$8)^5*I22/100</f>
        <v>11.509536456704</v>
      </c>
      <c r="J53" s="25" t="n">
        <f aca="false">C22*(1+Assumptions!$C$8)^6*J22/100</f>
        <v>15.3103601238016</v>
      </c>
      <c r="K53" s="25" t="n">
        <f aca="false">C22*(1+Assumptions!$C$8)^7*K22/100</f>
        <v>17.3702994859131</v>
      </c>
      <c r="L53" s="25" t="n">
        <f aca="false">C22*(1+Assumptions!$C$8)^8*L22/100</f>
        <v>19.2694522297063</v>
      </c>
      <c r="M53" s="25" t="n">
        <f aca="false">C22*(1+Assumptions!$C$8)^9*M22/100</f>
        <v>21.2927447138254</v>
      </c>
    </row>
    <row r="54" customFormat="false" ht="15" hidden="false" customHeight="true" outlineLevel="0" collapsed="false">
      <c r="B54" s="96" t="s">
        <v>685</v>
      </c>
      <c r="C54" s="54" t="s">
        <v>683</v>
      </c>
      <c r="D54" s="25" t="n">
        <f aca="false">C23*(1+Assumptions!$C$8)^0*D23/100</f>
        <v>0.27</v>
      </c>
      <c r="E54" s="25" t="n">
        <f aca="false">C23*(1+Assumptions!$C$8)^1*E23/100</f>
        <v>0.5616</v>
      </c>
      <c r="F54" s="25" t="n">
        <f aca="false">C23*(1+Assumptions!$C$8)^2*F23/100</f>
        <v>0.778752</v>
      </c>
      <c r="G54" s="25" t="n">
        <f aca="false">C23*(1+Assumptions!$C$8)^3*G23/100</f>
        <v>1.31609088</v>
      </c>
      <c r="H54" s="25" t="n">
        <f aca="false">C23*(1+Assumptions!$C$8)^4*H23/100</f>
        <v>1.6845963264</v>
      </c>
      <c r="I54" s="25" t="n">
        <f aca="false">C23*(1+Assumptions!$C$8)^5*I23/100</f>
        <v>2.18997522432</v>
      </c>
      <c r="J54" s="25" t="n">
        <f aca="false">C23*(1+Assumptions!$C$8)^6*J23/100</f>
        <v>2.73308907995136</v>
      </c>
      <c r="K54" s="25" t="n">
        <f aca="false">C23*(1+Assumptions!$C$8)^7*K23/100</f>
        <v>2.84241264314941</v>
      </c>
      <c r="L54" s="25" t="n">
        <f aca="false">C23*(1+Assumptions!$C$8)^8*L23/100</f>
        <v>3.20245157794834</v>
      </c>
      <c r="M54" s="25" t="n">
        <f aca="false">C23*(1+Assumptions!$C$8)^9*M23/100</f>
        <v>3.33054964106628</v>
      </c>
    </row>
    <row r="55" customFormat="false" ht="15" hidden="false" customHeight="true" outlineLevel="0" collapsed="false">
      <c r="B55" s="96" t="s">
        <v>686</v>
      </c>
      <c r="C55" s="54" t="s">
        <v>683</v>
      </c>
      <c r="D55" s="25" t="n">
        <f aca="false">C24*(1+Assumptions!$C$8)^0*D24/100</f>
        <v>0.22</v>
      </c>
      <c r="E55" s="25" t="n">
        <f aca="false">C24*(1+Assumptions!$C$8)^1*E24/100</f>
        <v>0.6864</v>
      </c>
      <c r="F55" s="25" t="n">
        <f aca="false">C24*(1+Assumptions!$C$8)^2*F24/100</f>
        <v>1.308736</v>
      </c>
      <c r="G55" s="25" t="n">
        <f aca="false">C24*(1+Assumptions!$C$8)^3*G24/100</f>
        <v>2.22723072</v>
      </c>
      <c r="H55" s="25" t="n">
        <f aca="false">C24*(1+Assumptions!$C$8)^4*H24/100</f>
        <v>3.4744799232</v>
      </c>
      <c r="I55" s="25" t="n">
        <f aca="false">C24*(1+Assumptions!$C$8)^5*I24/100</f>
        <v>5.085609132032</v>
      </c>
      <c r="J55" s="25" t="n">
        <f aca="false">C24*(1+Assumptions!$C$8)^6*J24/100</f>
        <v>6.68088441765888</v>
      </c>
      <c r="K55" s="25" t="n">
        <f aca="false">C24*(1+Assumptions!$C$8)^7*K24/100</f>
        <v>7.81663476866089</v>
      </c>
      <c r="L55" s="25" t="n">
        <f aca="false">C24*(1+Assumptions!$C$8)^8*L24/100</f>
        <v>8.73147054158565</v>
      </c>
      <c r="M55" s="25" t="n">
        <f aca="false">C24*(1+Assumptions!$C$8)^9*M24/100</f>
        <v>9.3938579619818</v>
      </c>
    </row>
    <row r="56" customFormat="false" ht="15" hidden="false" customHeight="true" outlineLevel="0" collapsed="false">
      <c r="B56" s="96" t="s">
        <v>687</v>
      </c>
      <c r="C56" s="54" t="s">
        <v>688</v>
      </c>
      <c r="D56" s="25" t="n">
        <f aca="false">C25*(1+Assumptions!$C$8)^0*D25/100</f>
        <v>0.36</v>
      </c>
      <c r="E56" s="25" t="n">
        <f aca="false">C25*(1+Assumptions!$C$8)^1*E25/100</f>
        <v>0.624</v>
      </c>
      <c r="F56" s="25" t="n">
        <f aca="false">C25*(1+Assumptions!$C$8)^2*F25/100</f>
        <v>0.908544</v>
      </c>
      <c r="G56" s="25" t="n">
        <f aca="false">C25*(1+Assumptions!$C$8)^3*G25/100</f>
        <v>1.21485312</v>
      </c>
      <c r="H56" s="25" t="n">
        <f aca="false">C25*(1+Assumptions!$C$8)^4*H25/100</f>
        <v>1.403830272</v>
      </c>
      <c r="I56" s="25" t="n">
        <f aca="false">C25*(1+Assumptions!$C$8)^5*I25/100</f>
        <v>1.605981831168</v>
      </c>
      <c r="J56" s="25" t="n">
        <f aca="false">C25*(1+Assumptions!$C$8)^6*J25/100</f>
        <v>1.82205938663424</v>
      </c>
      <c r="K56" s="25" t="n">
        <f aca="false">C25*(1+Assumptions!$C$8)^7*K25/100</f>
        <v>2.05285357560791</v>
      </c>
      <c r="L56" s="25" t="n">
        <f aca="false">C25*(1+Assumptions!$C$8)^8*L25/100</f>
        <v>2.29919600468086</v>
      </c>
      <c r="M56" s="25" t="n">
        <f aca="false">C25*(1+Assumptions!$C$8)^9*M25/100</f>
        <v>2.39116384486809</v>
      </c>
    </row>
    <row r="57" customFormat="false" ht="15" hidden="false" customHeight="true" outlineLevel="0" collapsed="false">
      <c r="B57" s="96" t="s">
        <v>689</v>
      </c>
      <c r="C57" s="54" t="s">
        <v>688</v>
      </c>
      <c r="D57" s="25" t="n">
        <f aca="false">C26*(1+Assumptions!$C$8)^0*D26/100</f>
        <v>0.44</v>
      </c>
      <c r="E57" s="25" t="n">
        <f aca="false">C26*(1+Assumptions!$C$8)^1*E26/100</f>
        <v>0.9152</v>
      </c>
      <c r="F57" s="25" t="n">
        <f aca="false">C26*(1+Assumptions!$C$8)^2*F26/100</f>
        <v>1.427712</v>
      </c>
      <c r="G57" s="25" t="n">
        <f aca="false">C26*(1+Assumptions!$C$8)^3*G26/100</f>
        <v>1.73229056</v>
      </c>
      <c r="H57" s="25" t="n">
        <f aca="false">C26*(1+Assumptions!$C$8)^4*H26/100</f>
        <v>2.0589510656</v>
      </c>
      <c r="I57" s="25" t="n">
        <f aca="false">C26*(1+Assumptions!$C$8)^5*I26/100</f>
        <v>2.408972746752</v>
      </c>
      <c r="J57" s="25" t="n">
        <f aca="false">C26*(1+Assumptions!$C$8)^6*J26/100</f>
        <v>2.7837018406912</v>
      </c>
      <c r="K57" s="25" t="n">
        <f aca="false">C26*(1+Assumptions!$C$8)^7*K26/100</f>
        <v>3.18455490575073</v>
      </c>
      <c r="L57" s="25" t="n">
        <f aca="false">C26*(1+Assumptions!$C$8)^8*L26/100</f>
        <v>3.31193710198076</v>
      </c>
      <c r="M57" s="25" t="n">
        <f aca="false">C26*(1+Assumptions!$C$8)^9*M26/100</f>
        <v>3.75754318479272</v>
      </c>
    </row>
    <row r="58" customFormat="false" ht="15" hidden="false" customHeight="true" outlineLevel="0" collapsed="false">
      <c r="B58" s="96" t="s">
        <v>690</v>
      </c>
      <c r="C58" s="54" t="s">
        <v>688</v>
      </c>
      <c r="D58" s="25" t="n">
        <f aca="false">C27*(1+Assumptions!$C$8)^0*D27/100</f>
        <v>0.22</v>
      </c>
      <c r="E58" s="25" t="n">
        <f aca="false">C27*(1+Assumptions!$C$8)^1*E27/100</f>
        <v>0.4576</v>
      </c>
      <c r="F58" s="25" t="n">
        <f aca="false">C27*(1+Assumptions!$C$8)^2*F27/100</f>
        <v>0.713856</v>
      </c>
      <c r="G58" s="25" t="n">
        <f aca="false">C27*(1+Assumptions!$C$8)^3*G27/100</f>
        <v>0.98988032</v>
      </c>
      <c r="H58" s="25" t="n">
        <f aca="false">C27*(1+Assumptions!$C$8)^4*H27/100</f>
        <v>1.286844416</v>
      </c>
      <c r="I58" s="25" t="n">
        <f aca="false">C27*(1+Assumptions!$C$8)^5*I27/100</f>
        <v>1.33831819264</v>
      </c>
      <c r="J58" s="25" t="n">
        <f aca="false">C27*(1+Assumptions!$C$8)^6*J27/100</f>
        <v>1.67022110441472</v>
      </c>
      <c r="K58" s="25" t="n">
        <f aca="false">C27*(1+Assumptions!$C$8)^7*K27/100</f>
        <v>1.73702994859131</v>
      </c>
      <c r="L58" s="25" t="n">
        <f aca="false">C27*(1+Assumptions!$C$8)^8*L27/100</f>
        <v>2.10759633762412</v>
      </c>
      <c r="M58" s="25" t="n">
        <f aca="false">C27*(1+Assumptions!$C$8)^9*M27/100</f>
        <v>2.19190019112909</v>
      </c>
    </row>
    <row r="59" customFormat="false" ht="15" hidden="false" customHeight="true" outlineLevel="0" collapsed="false">
      <c r="B59" s="96" t="s">
        <v>691</v>
      </c>
      <c r="C59" s="54" t="s">
        <v>692</v>
      </c>
      <c r="D59" s="25" t="n">
        <f aca="false">C28*(1+Assumptions!$C$8)^0*D28/100</f>
        <v>1</v>
      </c>
      <c r="E59" s="25" t="n">
        <f aca="false">C28*(1+Assumptions!$C$8)^1*E28/100</f>
        <v>1.248</v>
      </c>
      <c r="F59" s="25" t="n">
        <f aca="false">C28*(1+Assumptions!$C$8)^2*F28/100</f>
        <v>1.51424</v>
      </c>
      <c r="G59" s="25" t="n">
        <f aca="false">C28*(1+Assumptions!$C$8)^3*G28/100</f>
        <v>1.7997824</v>
      </c>
      <c r="H59" s="25" t="n">
        <f aca="false">C28*(1+Assumptions!$C$8)^4*H28/100</f>
        <v>1.871773696</v>
      </c>
      <c r="I59" s="25" t="n">
        <f aca="false">C28*(1+Assumptions!$C$8)^5*I28/100</f>
        <v>2.18997522432</v>
      </c>
      <c r="J59" s="25" t="n">
        <f aca="false">C28*(1+Assumptions!$C$8)^6*J28/100</f>
        <v>2.2775742332928</v>
      </c>
      <c r="K59" s="25" t="n">
        <f aca="false">C28*(1+Assumptions!$C$8)^7*K28/100</f>
        <v>2.63186355847168</v>
      </c>
      <c r="L59" s="25" t="n">
        <f aca="false">C28*(1+Assumptions!$C$8)^8*L28/100</f>
        <v>2.73713810081055</v>
      </c>
      <c r="M59" s="25" t="n">
        <f aca="false">C28*(1+Assumptions!$C$8)^9*M28/100</f>
        <v>2.84662362484297</v>
      </c>
    </row>
    <row r="60" customFormat="false" ht="15" hidden="false" customHeight="true" outlineLevel="0" collapsed="false">
      <c r="B60" s="96" t="s">
        <v>693</v>
      </c>
      <c r="C60" s="54" t="s">
        <v>692</v>
      </c>
      <c r="D60" s="25" t="n">
        <f aca="false">C29*(1+Assumptions!$C$8)^0*D29/100</f>
        <v>0.64</v>
      </c>
      <c r="E60" s="25" t="n">
        <f aca="false">C29*(1+Assumptions!$C$8)^1*E29/100</f>
        <v>0.9984</v>
      </c>
      <c r="F60" s="25" t="n">
        <f aca="false">C29*(1+Assumptions!$C$8)^2*F29/100</f>
        <v>1.384448</v>
      </c>
      <c r="G60" s="25" t="n">
        <f aca="false">C29*(1+Assumptions!$C$8)^3*G29/100</f>
        <v>1.7997824</v>
      </c>
      <c r="H60" s="25" t="n">
        <f aca="false">C29*(1+Assumptions!$C$8)^4*H29/100</f>
        <v>2.2461284352</v>
      </c>
      <c r="I60" s="25" t="n">
        <f aca="false">C29*(1+Assumptions!$C$8)^5*I29/100</f>
        <v>2.335973572608</v>
      </c>
      <c r="J60" s="25" t="n">
        <f aca="false">C29*(1+Assumptions!$C$8)^6*J29/100</f>
        <v>2.83431460143104</v>
      </c>
      <c r="K60" s="25" t="n">
        <f aca="false">C29*(1+Assumptions!$C$8)^7*K29/100</f>
        <v>2.94768718548828</v>
      </c>
      <c r="L60" s="25" t="n">
        <f aca="false">C29*(1+Assumptions!$C$8)^8*L29/100</f>
        <v>3.5035367690375</v>
      </c>
      <c r="M60" s="25" t="n">
        <f aca="false">C29*(1+Assumptions!$C$8)^9*M29/100</f>
        <v>3.643678239799</v>
      </c>
    </row>
    <row r="61" customFormat="false" ht="15" hidden="false" customHeight="true" outlineLevel="0" collapsed="false">
      <c r="B61" s="96" t="s">
        <v>694</v>
      </c>
      <c r="C61" s="54" t="s">
        <v>692</v>
      </c>
      <c r="D61" s="25" t="n">
        <f aca="false">C30*(1+Assumptions!$C$8)^0*D30/100</f>
        <v>0.09</v>
      </c>
      <c r="E61" s="25" t="n">
        <f aca="false">C30*(1+Assumptions!$C$8)^1*E30/100</f>
        <v>0.1872</v>
      </c>
      <c r="F61" s="25" t="n">
        <f aca="false">C30*(1+Assumptions!$C$8)^2*F30/100</f>
        <v>0.292032</v>
      </c>
      <c r="G61" s="25" t="n">
        <f aca="false">C30*(1+Assumptions!$C$8)^3*G30/100</f>
        <v>0.40495104</v>
      </c>
      <c r="H61" s="25" t="n">
        <f aca="false">C30*(1+Assumptions!$C$8)^4*H30/100</f>
        <v>0.526436352</v>
      </c>
      <c r="I61" s="25" t="n">
        <f aca="false">C30*(1+Assumptions!$C$8)^5*I30/100</f>
        <v>0.54749380608</v>
      </c>
      <c r="J61" s="25" t="n">
        <f aca="false">C30*(1+Assumptions!$C$8)^6*J30/100</f>
        <v>0.68327226998784</v>
      </c>
      <c r="K61" s="25" t="n">
        <f aca="false">C30*(1+Assumptions!$C$8)^7*K30/100</f>
        <v>0.710603160787354</v>
      </c>
      <c r="L61" s="25" t="n">
        <f aca="false">C30*(1+Assumptions!$C$8)^8*L30/100</f>
        <v>0.739027287218848</v>
      </c>
      <c r="M61" s="25" t="n">
        <f aca="false">C30*(1+Assumptions!$C$8)^9*M30/100</f>
        <v>0.768588378707602</v>
      </c>
    </row>
    <row r="62" customFormat="false" ht="15" hidden="false" customHeight="true" outlineLevel="0" collapsed="false">
      <c r="B62" s="96" t="s">
        <v>695</v>
      </c>
      <c r="C62" s="54" t="s">
        <v>692</v>
      </c>
      <c r="D62" s="25" t="n">
        <f aca="false">C31*(1+Assumptions!$C$8)^0*D31/100</f>
        <v>0.1</v>
      </c>
      <c r="E62" s="25" t="n">
        <f aca="false">C31*(1+Assumptions!$C$8)^1*E31/100</f>
        <v>0.208</v>
      </c>
      <c r="F62" s="25" t="n">
        <f aca="false">C31*(1+Assumptions!$C$8)^2*F31/100</f>
        <v>0.21632</v>
      </c>
      <c r="G62" s="25" t="n">
        <f aca="false">C31*(1+Assumptions!$C$8)^3*G31/100</f>
        <v>0.3374592</v>
      </c>
      <c r="H62" s="25" t="n">
        <f aca="false">C31*(1+Assumptions!$C$8)^4*H31/100</f>
        <v>0.350957568</v>
      </c>
      <c r="I62" s="25" t="n">
        <f aca="false">C31*(1+Assumptions!$C$8)^5*I31/100</f>
        <v>0.48666116096</v>
      </c>
      <c r="J62" s="25" t="n">
        <f aca="false">C31*(1+Assumptions!$C$8)^6*J31/100</f>
        <v>0.5061276073984</v>
      </c>
      <c r="K62" s="25" t="n">
        <f aca="false">C31*(1+Assumptions!$C$8)^7*K31/100</f>
        <v>0.526372711694336</v>
      </c>
      <c r="L62" s="25" t="n">
        <f aca="false">C31*(1+Assumptions!$C$8)^8*L31/100</f>
        <v>0.54742762016211</v>
      </c>
      <c r="M62" s="25" t="n">
        <f aca="false">C31*(1+Assumptions!$C$8)^9*M31/100</f>
        <v>0.569324724968594</v>
      </c>
    </row>
    <row r="63" customFormat="false" ht="15" hidden="false" customHeight="true" outlineLevel="0" collapsed="false">
      <c r="B63" s="96" t="s">
        <v>696</v>
      </c>
      <c r="C63" s="54" t="s">
        <v>692</v>
      </c>
      <c r="D63" s="25" t="n">
        <f aca="false">C32*(1+Assumptions!$C$8)^0*D32/100</f>
        <v>0.24</v>
      </c>
      <c r="E63" s="25" t="n">
        <f aca="false">C32*(1+Assumptions!$C$8)^1*E32/100</f>
        <v>0.3744</v>
      </c>
      <c r="F63" s="25" t="n">
        <f aca="false">C32*(1+Assumptions!$C$8)^2*F32/100</f>
        <v>0.389376</v>
      </c>
      <c r="G63" s="25" t="n">
        <f aca="false">C32*(1+Assumptions!$C$8)^3*G32/100</f>
        <v>0.53993472</v>
      </c>
      <c r="H63" s="25" t="n">
        <f aca="false">C32*(1+Assumptions!$C$8)^4*H32/100</f>
        <v>0.5615321088</v>
      </c>
      <c r="I63" s="25" t="n">
        <f aca="false">C32*(1+Assumptions!$C$8)^5*I32/100</f>
        <v>0.72999174144</v>
      </c>
      <c r="J63" s="25" t="n">
        <f aca="false">C32*(1+Assumptions!$C$8)^6*J32/100</f>
        <v>0.7591914110976</v>
      </c>
      <c r="K63" s="25" t="n">
        <f aca="false">C32*(1+Assumptions!$C$8)^7*K32/100</f>
        <v>0.789559067541504</v>
      </c>
      <c r="L63" s="25" t="n">
        <f aca="false">C32*(1+Assumptions!$C$8)^8*L32/100</f>
        <v>0.985369716291797</v>
      </c>
      <c r="M63" s="25" t="n">
        <f aca="false">C32*(1+Assumptions!$C$8)^9*M32/100</f>
        <v>1.02478450494347</v>
      </c>
    </row>
    <row r="64" customFormat="false" ht="15" hidden="false" customHeight="true" outlineLevel="0" collapsed="false">
      <c r="B64" s="96" t="s">
        <v>697</v>
      </c>
      <c r="C64" s="54" t="s">
        <v>692</v>
      </c>
      <c r="D64" s="25" t="n">
        <f aca="false">C33*(1+Assumptions!$C$8)^0*D33/100</f>
        <v>0.24</v>
      </c>
      <c r="E64" s="25" t="n">
        <f aca="false">C33*(1+Assumptions!$C$8)^1*E33/100</f>
        <v>0.3744</v>
      </c>
      <c r="F64" s="25" t="n">
        <f aca="false">C33*(1+Assumptions!$C$8)^2*F33/100</f>
        <v>0.519168</v>
      </c>
      <c r="G64" s="25" t="n">
        <f aca="false">C33*(1+Assumptions!$C$8)^3*G33/100</f>
        <v>0.6749184</v>
      </c>
      <c r="H64" s="25" t="n">
        <f aca="false">C33*(1+Assumptions!$C$8)^4*H33/100</f>
        <v>0.8422981632</v>
      </c>
      <c r="I64" s="25" t="n">
        <f aca="false">C33*(1+Assumptions!$C$8)^5*I33/100</f>
        <v>0.875990089728</v>
      </c>
      <c r="J64" s="25" t="n">
        <f aca="false">C33*(1+Assumptions!$C$8)^6*J33/100</f>
        <v>1.06286797553664</v>
      </c>
      <c r="K64" s="25" t="n">
        <f aca="false">C33*(1+Assumptions!$C$8)^7*K33/100</f>
        <v>1.10538269455811</v>
      </c>
      <c r="L64" s="25" t="n">
        <f aca="false">C33*(1+Assumptions!$C$8)^8*L33/100</f>
        <v>1.31382628838906</v>
      </c>
      <c r="M64" s="25" t="n">
        <f aca="false">C33*(1+Assumptions!$C$8)^9*M33/100</f>
        <v>1.36637933992463</v>
      </c>
    </row>
    <row r="66" customFormat="false" ht="21.75" hidden="false" customHeight="true" outlineLevel="0" collapsed="false">
      <c r="B66" s="6" t="s">
        <v>698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customFormat="false" ht="15" hidden="false" customHeight="true" outlineLevel="0" collapsed="false">
      <c r="B67" s="53" t="s">
        <v>699</v>
      </c>
      <c r="D67" s="55" t="n">
        <f aca="false">D37+D38+D39+D40+D41+D42+D43+D44+D45+D46+D47+D48+D49+D50+D51</f>
        <v>12.51</v>
      </c>
      <c r="E67" s="55" t="n">
        <f aca="false">E37+E38+E39+E40+E41+E42+E43+E44+E45+E46+E47+E48+E49+E50+E51</f>
        <v>20.6648</v>
      </c>
      <c r="F67" s="55" t="n">
        <f aca="false">F37+F38+F39+F40+F41+F42+F43+F44+F45+F46+F47+F48+F49+F50+F51</f>
        <v>28.44608</v>
      </c>
      <c r="G67" s="55" t="n">
        <f aca="false">G37+G38+G39+G40+G41+G42+G43+G44+G45+G46+G47+G48+G49+G50+G51</f>
        <v>36.87304192</v>
      </c>
      <c r="H67" s="55" t="n">
        <f aca="false">H37+H38+H39+H40+H41+H42+H43+H44+H45+H46+H47+H48+H49+H50+H51</f>
        <v>43.7761073152</v>
      </c>
      <c r="I67" s="55" t="n">
        <f aca="false">I37+I38+I39+I40+I41+I42+I43+I44+I45+I46+I47+I48+I49+I50+I51</f>
        <v>50.028767346688</v>
      </c>
      <c r="J67" s="55" t="n">
        <f aca="false">J37+J38+J39+J40+J41+J42+J43+J44+J45+J46+J47+J48+J49+J50+J51</f>
        <v>54.9654581634663</v>
      </c>
      <c r="K67" s="55" t="n">
        <f aca="false">K37+K38+K39+K40+K41+K42+K43+K44+K45+K46+K47+K48+K49+K50+K51</f>
        <v>60.4539059380945</v>
      </c>
      <c r="L67" s="55" t="n">
        <f aca="false">L37+L38+L39+L40+L41+L42+L43+L44+L45+L46+L47+L48+L49+L50+L51</f>
        <v>63.5289753198128</v>
      </c>
      <c r="M67" s="55" t="n">
        <f aca="false">M37+M38+M39+M40+M41+M42+M43+M44+M45+M46+M47+M48+M49+M50+M51</f>
        <v>66.7675571206919</v>
      </c>
    </row>
    <row r="68" customFormat="false" ht="15" hidden="false" customHeight="true" outlineLevel="0" collapsed="false">
      <c r="B68" s="53" t="s">
        <v>700</v>
      </c>
      <c r="D68" s="55" t="n">
        <f aca="false">D52+D53+D54+D55</f>
        <v>2.03</v>
      </c>
      <c r="E68" s="55" t="n">
        <f aca="false">E52+E53+E54+E55</f>
        <v>4.9088</v>
      </c>
      <c r="F68" s="55" t="n">
        <f aca="false">F52+F53+F54+F55</f>
        <v>8.155264</v>
      </c>
      <c r="G68" s="55" t="n">
        <f aca="false">G52+G53+G54+G55</f>
        <v>13.31838976</v>
      </c>
      <c r="H68" s="55" t="n">
        <f aca="false">H52+H53+H54+H55</f>
        <v>19.0569959424</v>
      </c>
      <c r="I68" s="55" t="n">
        <f aca="false">I52+I53+I54+I55</f>
        <v>26.547366330368</v>
      </c>
      <c r="J68" s="55" t="n">
        <f aca="false">J52+J53+J54+J55</f>
        <v>34.7456602479002</v>
      </c>
      <c r="K68" s="55" t="n">
        <f aca="false">K52+K53+K54+K55</f>
        <v>39.030536572135</v>
      </c>
      <c r="L68" s="55" t="n">
        <f aca="false">L52+L53+L54+L55</f>
        <v>43.2467819928066</v>
      </c>
      <c r="M68" s="55" t="n">
        <f aca="false">M52+M53+M54+M55</f>
        <v>46.5422962661826</v>
      </c>
    </row>
    <row r="69" customFormat="false" ht="15" hidden="false" customHeight="true" outlineLevel="0" collapsed="false">
      <c r="B69" s="53" t="s">
        <v>701</v>
      </c>
      <c r="D69" s="55" t="n">
        <f aca="false">D56+D57+D58</f>
        <v>1.02</v>
      </c>
      <c r="E69" s="55" t="n">
        <f aca="false">E56+E57+E58</f>
        <v>1.9968</v>
      </c>
      <c r="F69" s="55" t="n">
        <f aca="false">F56+F57+F58</f>
        <v>3.050112</v>
      </c>
      <c r="G69" s="55" t="n">
        <f aca="false">G56+G57+G58</f>
        <v>3.937024</v>
      </c>
      <c r="H69" s="55" t="n">
        <f aca="false">H56+H57+H58</f>
        <v>4.7496257536</v>
      </c>
      <c r="I69" s="55" t="n">
        <f aca="false">I56+I57+I58</f>
        <v>5.35327277056</v>
      </c>
      <c r="J69" s="55" t="n">
        <f aca="false">J56+J57+J58</f>
        <v>6.27598233174016</v>
      </c>
      <c r="K69" s="55" t="n">
        <f aca="false">K56+K57+K58</f>
        <v>6.97443842994995</v>
      </c>
      <c r="L69" s="55" t="n">
        <f aca="false">L56+L57+L58</f>
        <v>7.71872944428574</v>
      </c>
      <c r="M69" s="55" t="n">
        <f aca="false">M56+M57+M58</f>
        <v>8.3406072207899</v>
      </c>
    </row>
    <row r="70" customFormat="false" ht="15" hidden="false" customHeight="true" outlineLevel="0" collapsed="false">
      <c r="B70" s="53" t="s">
        <v>702</v>
      </c>
      <c r="D70" s="55" t="n">
        <f aca="false">D59+D60+D61+D62+D63+D64</f>
        <v>2.31</v>
      </c>
      <c r="E70" s="55" t="n">
        <f aca="false">E59+E60+E61+E62+E63+E64</f>
        <v>3.3904</v>
      </c>
      <c r="F70" s="55" t="n">
        <f aca="false">F59+F60+F61+F62+F63+F64</f>
        <v>4.315584</v>
      </c>
      <c r="G70" s="55" t="n">
        <f aca="false">G59+G60+G61+G62+G63+G64</f>
        <v>5.55682816</v>
      </c>
      <c r="H70" s="55" t="n">
        <f aca="false">H59+H60+H61+H62+H63+H64</f>
        <v>6.3991263232</v>
      </c>
      <c r="I70" s="55" t="n">
        <f aca="false">I59+I60+I61+I62+I63+I64</f>
        <v>7.166085595136</v>
      </c>
      <c r="J70" s="55" t="n">
        <f aca="false">J59+J60+J61+J62+J63+J64</f>
        <v>8.12334809874432</v>
      </c>
      <c r="K70" s="55" t="n">
        <f aca="false">K59+K60+K61+K62+K63+K64</f>
        <v>8.71146837854126</v>
      </c>
      <c r="L70" s="55" t="n">
        <f aca="false">L59+L60+L61+L62+L63+L64</f>
        <v>9.82632578190987</v>
      </c>
      <c r="M70" s="55" t="n">
        <f aca="false">M59+M60+M61+M62+M63+M64</f>
        <v>10.2193788131863</v>
      </c>
    </row>
    <row r="71" customFormat="false" ht="15" hidden="false" customHeight="true" outlineLevel="0" collapsed="false">
      <c r="B71" s="114" t="s">
        <v>703</v>
      </c>
      <c r="D71" s="85" t="n">
        <f aca="false">D67+D68+D69+D70</f>
        <v>17.87</v>
      </c>
      <c r="E71" s="85" t="n">
        <f aca="false">E67+E68+E69+E70</f>
        <v>30.9608</v>
      </c>
      <c r="F71" s="85" t="n">
        <f aca="false">F67+F68+F69+F70</f>
        <v>43.96704</v>
      </c>
      <c r="G71" s="85" t="n">
        <f aca="false">G67+G68+G69+G70</f>
        <v>59.68528384</v>
      </c>
      <c r="H71" s="85" t="n">
        <f aca="false">H67+H68+H69+H70</f>
        <v>73.9818553344</v>
      </c>
      <c r="I71" s="85" t="n">
        <f aca="false">I67+I68+I69+I70</f>
        <v>89.095492042752</v>
      </c>
      <c r="J71" s="85" t="n">
        <f aca="false">J67+J68+J69+J70</f>
        <v>104.110448841851</v>
      </c>
      <c r="K71" s="85" t="n">
        <f aca="false">K67+K68+K69+K70</f>
        <v>115.170349318721</v>
      </c>
      <c r="L71" s="85" t="n">
        <f aca="false">L67+L68+L69+L70</f>
        <v>124.320812538815</v>
      </c>
      <c r="M71" s="85" t="n">
        <f aca="false">M67+M68+M69+M70</f>
        <v>131.869839420851</v>
      </c>
    </row>
    <row r="72" customFormat="false" ht="48" hidden="false" customHeight="true" outlineLevel="0" collapsed="false">
      <c r="B72" s="115" t="s">
        <v>704</v>
      </c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</row>
  </sheetData>
  <mergeCells count="5">
    <mergeCell ref="B2:N2"/>
    <mergeCell ref="B5:N5"/>
    <mergeCell ref="B36:N36"/>
    <mergeCell ref="B66:M66"/>
    <mergeCell ref="B72:M72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D5" activeCellId="0" sqref="D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44"/>
    <col collapsed="false" customWidth="true" hidden="false" outlineLevel="0" max="3" min="3" style="1" width="22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705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473</v>
      </c>
      <c r="C4" s="20" t="s">
        <v>706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15" hidden="false" customHeight="true" outlineLevel="0" collapsed="false">
      <c r="B5" s="4" t="s">
        <v>707</v>
      </c>
      <c r="C5" s="54" t="s">
        <v>708</v>
      </c>
      <c r="D5" s="25" t="n">
        <f aca="false">Platform!D11</f>
        <v>101</v>
      </c>
      <c r="E5" s="25" t="n">
        <f aca="false">Platform!E11</f>
        <v>210</v>
      </c>
      <c r="F5" s="25" t="n">
        <f aca="false">Platform!F11</f>
        <v>107</v>
      </c>
      <c r="G5" s="25" t="n">
        <f aca="false">Platform!G11</f>
        <v>69</v>
      </c>
      <c r="H5" s="25" t="n">
        <f aca="false">Platform!H11</f>
        <v>38</v>
      </c>
      <c r="I5" s="25" t="n">
        <f aca="false">Platform!I11</f>
        <v>20.5</v>
      </c>
      <c r="J5" s="25" t="n">
        <f aca="false">Platform!J11</f>
        <v>11.3</v>
      </c>
      <c r="K5" s="25" t="n">
        <f aca="false">Platform!K11</f>
        <v>8.4</v>
      </c>
      <c r="L5" s="25" t="n">
        <f aca="false">Platform!L11</f>
        <v>6.9</v>
      </c>
      <c r="M5" s="25" t="n">
        <f aca="false">Platform!M11</f>
        <v>3.1</v>
      </c>
    </row>
    <row r="6" customFormat="false" ht="15" hidden="false" customHeight="true" outlineLevel="0" collapsed="false">
      <c r="B6" s="4" t="s">
        <v>709</v>
      </c>
      <c r="C6" s="54" t="s">
        <v>710</v>
      </c>
      <c r="D6" s="25" t="n">
        <f aca="false">ReuseMatrix!D25+ReuseMatrix!D28+ReuseMatrix!D31+ReuseMatrix!D34+ReuseMatrix!D37+ReuseMatrix!D40</f>
        <v>141.827875</v>
      </c>
      <c r="E6" s="25" t="n">
        <f aca="false">ReuseMatrix!E25+ReuseMatrix!E28+ReuseMatrix!E31+ReuseMatrix!E34+ReuseMatrix!E37+ReuseMatrix!E40</f>
        <v>110.149175</v>
      </c>
      <c r="F6" s="25" t="n">
        <f aca="false">ReuseMatrix!F25+ReuseMatrix!F28+ReuseMatrix!F31+ReuseMatrix!F34+ReuseMatrix!F37+ReuseMatrix!F40</f>
        <v>59.139457</v>
      </c>
      <c r="G6" s="25" t="n">
        <f aca="false">ReuseMatrix!G25+ReuseMatrix!G28+ReuseMatrix!G31+ReuseMatrix!G34+ReuseMatrix!G37+ReuseMatrix!G40</f>
        <v>26.760075</v>
      </c>
      <c r="H6" s="25" t="n">
        <f aca="false">ReuseMatrix!H25+ReuseMatrix!H28+ReuseMatrix!H31+ReuseMatrix!H34+ReuseMatrix!H37+ReuseMatrix!H40</f>
        <v>10.307785</v>
      </c>
      <c r="I6" s="25" t="n">
        <f aca="false">ReuseMatrix!I25+ReuseMatrix!I28+ReuseMatrix!I31+ReuseMatrix!I34+ReuseMatrix!I37+ReuseMatrix!I40</f>
        <v>3.740853</v>
      </c>
      <c r="J6" s="25" t="n">
        <f aca="false">ReuseMatrix!J25+ReuseMatrix!J28+ReuseMatrix!J31+ReuseMatrix!J34+ReuseMatrix!J37+ReuseMatrix!J40</f>
        <v>1.6259535</v>
      </c>
      <c r="K6" s="25" t="n">
        <f aca="false">ReuseMatrix!K25+ReuseMatrix!K28+ReuseMatrix!K31+ReuseMatrix!K34+ReuseMatrix!K37+ReuseMatrix!K40</f>
        <v>0.657509249999999</v>
      </c>
      <c r="L6" s="25" t="n">
        <f aca="false">ReuseMatrix!L25+ReuseMatrix!L28+ReuseMatrix!L31+ReuseMatrix!L34+ReuseMatrix!L37+ReuseMatrix!L40</f>
        <v>0.14221025</v>
      </c>
      <c r="M6" s="25" t="n">
        <f aca="false">ReuseMatrix!M25+ReuseMatrix!M28+ReuseMatrix!M31+ReuseMatrix!M34+ReuseMatrix!M37+ReuseMatrix!M40</f>
        <v>0.087875</v>
      </c>
    </row>
    <row r="7" customFormat="false" ht="15" hidden="false" customHeight="true" outlineLevel="0" collapsed="false">
      <c r="B7" s="4" t="s">
        <v>711</v>
      </c>
      <c r="C7" s="54" t="s">
        <v>712</v>
      </c>
      <c r="D7" s="25" t="n">
        <f aca="false">Headcount!D67</f>
        <v>12.51</v>
      </c>
      <c r="E7" s="25" t="n">
        <f aca="false">Headcount!E67</f>
        <v>20.6648</v>
      </c>
      <c r="F7" s="25" t="n">
        <f aca="false">Headcount!F67</f>
        <v>28.44608</v>
      </c>
      <c r="G7" s="25" t="n">
        <f aca="false">Headcount!G67</f>
        <v>36.87304192</v>
      </c>
      <c r="H7" s="25" t="n">
        <f aca="false">Headcount!H67</f>
        <v>43.7761073152</v>
      </c>
      <c r="I7" s="25" t="n">
        <f aca="false">Headcount!I67</f>
        <v>50.028767346688</v>
      </c>
      <c r="J7" s="25" t="n">
        <f aca="false">Headcount!J67</f>
        <v>54.9654581634663</v>
      </c>
      <c r="K7" s="25" t="n">
        <f aca="false">Headcount!K67</f>
        <v>60.4539059380945</v>
      </c>
      <c r="L7" s="25" t="n">
        <f aca="false">Headcount!L67</f>
        <v>63.5289753198128</v>
      </c>
      <c r="M7" s="25" t="n">
        <f aca="false">Headcount!M67</f>
        <v>66.7675571206919</v>
      </c>
    </row>
    <row r="8" customFormat="false" ht="15" hidden="false" customHeight="true" outlineLevel="0" collapsed="false">
      <c r="B8" s="54" t="s">
        <v>713</v>
      </c>
      <c r="C8" s="54" t="s">
        <v>714</v>
      </c>
      <c r="D8" s="25" t="n">
        <f aca="false">ReuseMatrix!D24+ReuseMatrix!D27+ReuseMatrix!D30+ReuseMatrix!D33+ReuseMatrix!D36+ReuseMatrix!D39</f>
        <v>261.725</v>
      </c>
      <c r="E8" s="25" t="n">
        <f aca="false">ReuseMatrix!E24+ReuseMatrix!E27+ReuseMatrix!E30+ReuseMatrix!E33+ReuseMatrix!E36+ReuseMatrix!E39</f>
        <v>308.75</v>
      </c>
      <c r="F8" s="25" t="n">
        <f aca="false">ReuseMatrix!F24+ReuseMatrix!F27+ReuseMatrix!F30+ReuseMatrix!F33+ReuseMatrix!F36+ReuseMatrix!F39</f>
        <v>270.085</v>
      </c>
      <c r="G8" s="25" t="n">
        <f aca="false">ReuseMatrix!G24+ReuseMatrix!G27+ReuseMatrix!G30+ReuseMatrix!G33+ReuseMatrix!G36+ReuseMatrix!G39</f>
        <v>206.53</v>
      </c>
      <c r="H8" s="25" t="n">
        <f aca="false">ReuseMatrix!H24+ReuseMatrix!H27+ReuseMatrix!H30+ReuseMatrix!H33+ReuseMatrix!H36+ReuseMatrix!H39</f>
        <v>133.475</v>
      </c>
      <c r="I8" s="25" t="n">
        <f aca="false">ReuseMatrix!I24+ReuseMatrix!I27+ReuseMatrix!I30+ReuseMatrix!I33+ReuseMatrix!I36+ReuseMatrix!I39</f>
        <v>75.43</v>
      </c>
      <c r="J8" s="25" t="n">
        <f aca="false">ReuseMatrix!J24+ReuseMatrix!J27+ReuseMatrix!J30+ReuseMatrix!J33+ReuseMatrix!J36+ReuseMatrix!J39</f>
        <v>47.5</v>
      </c>
      <c r="K8" s="25" t="n">
        <f aca="false">ReuseMatrix!K24+ReuseMatrix!K27+ReuseMatrix!K30+ReuseMatrix!K33+ReuseMatrix!K36+ReuseMatrix!K39</f>
        <v>27.1225</v>
      </c>
      <c r="L8" s="25" t="n">
        <f aca="false">ReuseMatrix!L24+ReuseMatrix!L27+ReuseMatrix!L30+ReuseMatrix!L33+ReuseMatrix!L36+ReuseMatrix!L39</f>
        <v>9.3575</v>
      </c>
      <c r="M8" s="25" t="n">
        <f aca="false">ReuseMatrix!M24+ReuseMatrix!M27+ReuseMatrix!M30+ReuseMatrix!M33+ReuseMatrix!M36+ReuseMatrix!M39</f>
        <v>8.7875</v>
      </c>
    </row>
    <row r="9" customFormat="false" ht="33" hidden="false" customHeight="true" outlineLevel="0" collapsed="false">
      <c r="B9" s="54" t="s">
        <v>715</v>
      </c>
      <c r="D9" s="25" t="n">
        <f aca="false">D8-D6</f>
        <v>119.897125</v>
      </c>
      <c r="E9" s="25" t="n">
        <f aca="false">E8-E6</f>
        <v>198.600825</v>
      </c>
      <c r="F9" s="25" t="n">
        <f aca="false">F8-F6</f>
        <v>210.945543</v>
      </c>
      <c r="G9" s="25" t="n">
        <f aca="false">G8-G6</f>
        <v>179.769925</v>
      </c>
      <c r="H9" s="25" t="n">
        <f aca="false">H8-H6</f>
        <v>123.167215</v>
      </c>
      <c r="I9" s="25" t="n">
        <f aca="false">I8-I6</f>
        <v>71.689147</v>
      </c>
      <c r="J9" s="25" t="n">
        <f aca="false">J8-J6</f>
        <v>45.8740465</v>
      </c>
      <c r="K9" s="25" t="n">
        <f aca="false">K8-K6</f>
        <v>26.46499075</v>
      </c>
      <c r="L9" s="25" t="n">
        <f aca="false">L8-L6</f>
        <v>9.21528975</v>
      </c>
      <c r="M9" s="25" t="n">
        <f aca="false">M8-M6</f>
        <v>8.699625</v>
      </c>
    </row>
    <row r="11" customFormat="false" ht="21.75" hidden="false" customHeight="true" outlineLevel="0" collapsed="false">
      <c r="B11" s="6" t="s">
        <v>716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customFormat="false" ht="30" hidden="false" customHeight="true" outlineLevel="0" collapsed="false">
      <c r="B12" s="116" t="s">
        <v>717</v>
      </c>
      <c r="C12" s="117" t="s">
        <v>718</v>
      </c>
      <c r="D12" s="85" t="n">
        <f aca="false">D17+D6+D7+D19</f>
        <v>301.9362375</v>
      </c>
      <c r="E12" s="85" t="n">
        <f aca="false">E17+E6+E7+E19</f>
        <v>347.8087275</v>
      </c>
      <c r="F12" s="85" t="n">
        <f aca="false">F17+F6+F7+F19</f>
        <v>185.2173741</v>
      </c>
      <c r="G12" s="85" t="n">
        <f aca="false">G17+G6+G7+G19</f>
        <v>118.02113942</v>
      </c>
      <c r="H12" s="85" t="n">
        <f aca="false">H17+H6+H7+H19</f>
        <v>80.5862278152</v>
      </c>
      <c r="I12" s="85" t="n">
        <f aca="false">I17+I6+I7+I19</f>
        <v>66.911876246688</v>
      </c>
      <c r="J12" s="85" t="n">
        <f aca="false">J17+J6+J7+J19</f>
        <v>63.4041977134663</v>
      </c>
      <c r="K12" s="85" t="n">
        <f aca="false">K17+K6+K7+K19</f>
        <v>65.9176679630945</v>
      </c>
      <c r="L12" s="85" t="n">
        <f aca="false">L17+L6+L7+L19</f>
        <v>67.4978486448128</v>
      </c>
      <c r="M12" s="85" t="n">
        <f aca="false">M17+M6+M7+M19</f>
        <v>68.6407946206919</v>
      </c>
    </row>
    <row r="13" customFormat="false" ht="15" hidden="false" customHeight="true" outlineLevel="0" collapsed="false">
      <c r="B13" s="1" t="s">
        <v>719</v>
      </c>
    </row>
    <row r="14" customFormat="false" ht="15" hidden="false" customHeight="true" outlineLevel="0" collapsed="false">
      <c r="B14" s="1" t="s">
        <v>720</v>
      </c>
      <c r="C14" s="68" t="s">
        <v>721</v>
      </c>
      <c r="D14" s="118" t="n">
        <f aca="false">'R&amp;D_Buckets'!D89</f>
        <v>0.25990099009901</v>
      </c>
      <c r="E14" s="118" t="n">
        <f aca="false">'R&amp;D_Buckets'!E89</f>
        <v>0.424047619047619</v>
      </c>
      <c r="F14" s="118" t="n">
        <f aca="false">'R&amp;D_Buckets'!F89</f>
        <v>0.553364485981308</v>
      </c>
      <c r="G14" s="118" t="n">
        <f aca="false">'R&amp;D_Buckets'!G89</f>
        <v>0.628115942028986</v>
      </c>
      <c r="H14" s="118" t="n">
        <f aca="false">'R&amp;D_Buckets'!H89</f>
        <v>0.683947368421053</v>
      </c>
      <c r="I14" s="118" t="n">
        <f aca="false">'R&amp;D_Buckets'!I89</f>
        <v>0.713658536585366</v>
      </c>
      <c r="J14" s="118" t="n">
        <f aca="false">'R&amp;D_Buckets'!J89</f>
        <v>0.740265486725664</v>
      </c>
      <c r="K14" s="118" t="n">
        <f aca="false">'R&amp;D_Buckets'!K89</f>
        <v>0.751309523809524</v>
      </c>
      <c r="L14" s="118" t="n">
        <f aca="false">'R&amp;D_Buckets'!L89</f>
        <v>0.751594202898551</v>
      </c>
      <c r="M14" s="118" t="n">
        <f aca="false">'R&amp;D_Buckets'!M89</f>
        <v>0.73258064516129</v>
      </c>
    </row>
    <row r="15" customFormat="false" ht="15" hidden="false" customHeight="true" outlineLevel="0" collapsed="false">
      <c r="B15" s="1" t="s">
        <v>722</v>
      </c>
      <c r="C15" s="1" t="n">
        <f aca="false">Assumptions!C58</f>
        <v>6</v>
      </c>
      <c r="D15" s="1" t="s">
        <v>723</v>
      </c>
    </row>
    <row r="16" customFormat="false" ht="15" hidden="false" customHeight="true" outlineLevel="0" collapsed="false">
      <c r="B16" s="1" t="s">
        <v>724</v>
      </c>
      <c r="D16" s="119" t="n">
        <f aca="false">'R&amp;D_Buckets'!D88</f>
        <v>26.25</v>
      </c>
      <c r="E16" s="119" t="n">
        <f aca="false">'R&amp;D_Buckets'!E88</f>
        <v>89.05</v>
      </c>
      <c r="F16" s="119" t="n">
        <f aca="false">'R&amp;D_Buckets'!F88</f>
        <v>59.21</v>
      </c>
      <c r="G16" s="119" t="n">
        <f aca="false">'R&amp;D_Buckets'!G88</f>
        <v>43.34</v>
      </c>
      <c r="H16" s="119" t="n">
        <f aca="false">'R&amp;D_Buckets'!H88</f>
        <v>25.99</v>
      </c>
      <c r="I16" s="119" t="n">
        <f aca="false">'R&amp;D_Buckets'!I88</f>
        <v>14.63</v>
      </c>
      <c r="J16" s="119" t="n">
        <f aca="false">'R&amp;D_Buckets'!J88</f>
        <v>8.365</v>
      </c>
      <c r="K16" s="119" t="n">
        <f aca="false">'R&amp;D_Buckets'!K88</f>
        <v>6.311</v>
      </c>
      <c r="L16" s="119" t="n">
        <f aca="false">'R&amp;D_Buckets'!L88</f>
        <v>5.186</v>
      </c>
      <c r="M16" s="119" t="n">
        <f aca="false">'R&amp;D_Buckets'!M88</f>
        <v>2.271</v>
      </c>
    </row>
    <row r="17" customFormat="false" ht="15" hidden="false" customHeight="true" outlineLevel="0" collapsed="false">
      <c r="B17" s="1" t="s">
        <v>725</v>
      </c>
      <c r="D17" s="119" t="n">
        <f aca="false">'R&amp;D_Buckets'!D87</f>
        <v>74.75</v>
      </c>
      <c r="E17" s="119" t="n">
        <f aca="false">'R&amp;D_Buckets'!E87</f>
        <v>120.95</v>
      </c>
      <c r="F17" s="119" t="n">
        <f aca="false">'R&amp;D_Buckets'!F87</f>
        <v>47.79</v>
      </c>
      <c r="G17" s="119" t="n">
        <f aca="false">'R&amp;D_Buckets'!G87</f>
        <v>25.66</v>
      </c>
      <c r="H17" s="119" t="n">
        <f aca="false">'R&amp;D_Buckets'!H87</f>
        <v>12.01</v>
      </c>
      <c r="I17" s="119" t="n">
        <f aca="false">'R&amp;D_Buckets'!I87</f>
        <v>5.87</v>
      </c>
      <c r="J17" s="119" t="n">
        <f aca="false">'R&amp;D_Buckets'!J87</f>
        <v>2.935</v>
      </c>
      <c r="K17" s="119" t="n">
        <f aca="false">'R&amp;D_Buckets'!K87</f>
        <v>2.089</v>
      </c>
      <c r="L17" s="119" t="n">
        <f aca="false">'R&amp;D_Buckets'!L87</f>
        <v>1.714</v>
      </c>
      <c r="M17" s="119" t="n">
        <f aca="false">'R&amp;D_Buckets'!M87</f>
        <v>0.829</v>
      </c>
    </row>
    <row r="18" customFormat="false" ht="15" hidden="false" customHeight="true" outlineLevel="0" collapsed="false">
      <c r="B18" s="1" t="s">
        <v>726</v>
      </c>
      <c r="D18" s="119" t="n">
        <f aca="false">'R&amp;D_Buckets'!D90</f>
        <v>4.375</v>
      </c>
      <c r="E18" s="119" t="n">
        <f aca="false">'R&amp;D_Buckets'!E90</f>
        <v>19.2166666666667</v>
      </c>
      <c r="F18" s="119" t="n">
        <f aca="false">'R&amp;D_Buckets'!F90</f>
        <v>29.085</v>
      </c>
      <c r="G18" s="119" t="n">
        <f aca="false">'R&amp;D_Buckets'!G90</f>
        <v>36.3083333333333</v>
      </c>
      <c r="H18" s="119" t="n">
        <f aca="false">'R&amp;D_Buckets'!H90</f>
        <v>40.64</v>
      </c>
      <c r="I18" s="119" t="n">
        <f aca="false">'R&amp;D_Buckets'!I90</f>
        <v>43.0783333333333</v>
      </c>
      <c r="J18" s="119" t="n">
        <f aca="false">'R&amp;D_Buckets'!J90</f>
        <v>40.0975</v>
      </c>
      <c r="K18" s="119" t="n">
        <f aca="false">'R&amp;D_Buckets'!K90</f>
        <v>26.3076666666667</v>
      </c>
      <c r="L18" s="119" t="n">
        <f aca="false">'R&amp;D_Buckets'!L90</f>
        <v>17.3036666666667</v>
      </c>
      <c r="M18" s="119" t="n">
        <f aca="false">'R&amp;D_Buckets'!M90</f>
        <v>10.4588333333333</v>
      </c>
    </row>
    <row r="19" customFormat="false" ht="15" hidden="false" customHeight="true" outlineLevel="0" collapsed="false">
      <c r="B19" s="1" t="s">
        <v>727</v>
      </c>
      <c r="C19" s="1" t="s">
        <v>728</v>
      </c>
      <c r="D19" s="1" t="n">
        <f aca="false">0.3*(D5+D6)</f>
        <v>72.8483625</v>
      </c>
      <c r="E19" s="1" t="n">
        <f aca="false">0.3*(E5+E6)</f>
        <v>96.0447525</v>
      </c>
      <c r="F19" s="1" t="n">
        <f aca="false">0.3*(F5+F6)</f>
        <v>49.8418371</v>
      </c>
      <c r="G19" s="1" t="n">
        <f aca="false">0.3*(G5+G6)</f>
        <v>28.7280225</v>
      </c>
      <c r="H19" s="1" t="n">
        <f aca="false">0.3*(H5+H6)</f>
        <v>14.4923355</v>
      </c>
      <c r="I19" s="1" t="n">
        <f aca="false">0.3*(I5+I6)</f>
        <v>7.2722559</v>
      </c>
      <c r="J19" s="1" t="n">
        <f aca="false">0.3*(J5+J6)</f>
        <v>3.87778605</v>
      </c>
      <c r="K19" s="1" t="n">
        <f aca="false">0.3*(K5+K6)</f>
        <v>2.717252775</v>
      </c>
      <c r="L19" s="1" t="n">
        <f aca="false">0.3*(L5+L6)</f>
        <v>2.112663075</v>
      </c>
      <c r="M19" s="1" t="n">
        <f aca="false">0.3*(M5+M6)</f>
        <v>0.9563625</v>
      </c>
    </row>
  </sheetData>
  <mergeCells count="2">
    <mergeCell ref="B2:N2"/>
    <mergeCell ref="B11:N11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D21" activeCellId="0" sqref="D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42"/>
    <col collapsed="false" customWidth="true" hidden="false" outlineLevel="0" max="3" min="3" style="1" width="12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729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730</v>
      </c>
      <c r="C4" s="20" t="s">
        <v>731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732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true" outlineLevel="0" collapsed="false">
      <c r="B6" s="96" t="s">
        <v>733</v>
      </c>
      <c r="C6" s="97" t="n">
        <v>7</v>
      </c>
      <c r="D6" s="113" t="n">
        <v>237.5</v>
      </c>
      <c r="E6" s="113" t="n">
        <v>142.5</v>
      </c>
      <c r="F6" s="113" t="n">
        <v>0</v>
      </c>
      <c r="G6" s="113" t="n">
        <v>0</v>
      </c>
      <c r="H6" s="113" t="n">
        <v>237.5</v>
      </c>
      <c r="I6" s="113" t="n">
        <v>0</v>
      </c>
      <c r="J6" s="113" t="n">
        <v>0</v>
      </c>
      <c r="K6" s="113" t="n">
        <v>0</v>
      </c>
      <c r="L6" s="113" t="n">
        <v>237.5</v>
      </c>
      <c r="M6" s="113" t="n">
        <v>0</v>
      </c>
    </row>
    <row r="7" customFormat="false" ht="15" hidden="false" customHeight="true" outlineLevel="0" collapsed="false">
      <c r="B7" s="96" t="s">
        <v>734</v>
      </c>
      <c r="C7" s="97" t="n">
        <v>15</v>
      </c>
      <c r="D7" s="113" t="n">
        <v>0</v>
      </c>
      <c r="E7" s="113" t="n">
        <v>0</v>
      </c>
      <c r="F7" s="113" t="n">
        <v>2500</v>
      </c>
      <c r="G7" s="113" t="n">
        <v>2500</v>
      </c>
      <c r="H7" s="113" t="n">
        <v>1000</v>
      </c>
      <c r="I7" s="113" t="n">
        <v>0</v>
      </c>
      <c r="J7" s="113" t="n">
        <v>0</v>
      </c>
      <c r="K7" s="113" t="n">
        <v>0</v>
      </c>
      <c r="L7" s="113" t="n">
        <v>0</v>
      </c>
      <c r="M7" s="113" t="n">
        <v>0</v>
      </c>
    </row>
    <row r="8" customFormat="false" ht="15" hidden="false" customHeight="true" outlineLevel="0" collapsed="false">
      <c r="B8" s="96" t="s">
        <v>735</v>
      </c>
      <c r="C8" s="97" t="n">
        <v>10</v>
      </c>
      <c r="D8" s="113" t="n">
        <v>400</v>
      </c>
      <c r="E8" s="113" t="n">
        <v>700</v>
      </c>
      <c r="F8" s="113" t="n">
        <v>850</v>
      </c>
      <c r="G8" s="113" t="n">
        <v>500</v>
      </c>
      <c r="H8" s="113" t="n">
        <v>0</v>
      </c>
      <c r="I8" s="113" t="n">
        <v>0</v>
      </c>
      <c r="J8" s="113" t="n">
        <v>190</v>
      </c>
      <c r="K8" s="113" t="n">
        <v>0</v>
      </c>
      <c r="L8" s="113" t="n">
        <v>0</v>
      </c>
      <c r="M8" s="113" t="n">
        <v>0</v>
      </c>
    </row>
    <row r="9" customFormat="false" ht="15" hidden="false" customHeight="true" outlineLevel="0" collapsed="false">
      <c r="B9" s="96" t="s">
        <v>736</v>
      </c>
      <c r="C9" s="97" t="n">
        <v>7</v>
      </c>
      <c r="D9" s="113" t="n">
        <v>500</v>
      </c>
      <c r="E9" s="113" t="n">
        <v>1000</v>
      </c>
      <c r="F9" s="113" t="n">
        <v>1200</v>
      </c>
      <c r="G9" s="113" t="n">
        <v>600</v>
      </c>
      <c r="H9" s="113" t="n">
        <v>600</v>
      </c>
      <c r="I9" s="113" t="n">
        <v>1100</v>
      </c>
      <c r="J9" s="113" t="n">
        <v>0</v>
      </c>
      <c r="K9" s="113" t="n">
        <v>0</v>
      </c>
      <c r="L9" s="113" t="n">
        <v>475</v>
      </c>
      <c r="M9" s="113" t="n">
        <v>0</v>
      </c>
    </row>
    <row r="10" customFormat="false" ht="15" hidden="false" customHeight="true" outlineLevel="0" collapsed="false">
      <c r="B10" s="96" t="s">
        <v>737</v>
      </c>
      <c r="C10" s="97" t="n">
        <v>10</v>
      </c>
      <c r="D10" s="113" t="n">
        <v>250</v>
      </c>
      <c r="E10" s="113" t="n">
        <v>400</v>
      </c>
      <c r="F10" s="113" t="n">
        <v>500</v>
      </c>
      <c r="G10" s="113" t="n">
        <v>380</v>
      </c>
      <c r="H10" s="113" t="n">
        <v>0</v>
      </c>
      <c r="I10" s="113" t="n">
        <v>0</v>
      </c>
      <c r="J10" s="113" t="n">
        <v>0</v>
      </c>
      <c r="K10" s="113" t="n">
        <v>190</v>
      </c>
      <c r="L10" s="113" t="n">
        <v>0</v>
      </c>
      <c r="M10" s="113" t="n">
        <v>0</v>
      </c>
    </row>
    <row r="11" customFormat="false" ht="15" hidden="false" customHeight="true" outlineLevel="0" collapsed="false">
      <c r="B11" s="96" t="s">
        <v>738</v>
      </c>
      <c r="C11" s="97" t="n">
        <v>15</v>
      </c>
      <c r="D11" s="113" t="n">
        <v>0</v>
      </c>
      <c r="E11" s="113" t="n">
        <v>600</v>
      </c>
      <c r="F11" s="113" t="n">
        <v>1200</v>
      </c>
      <c r="G11" s="113" t="n">
        <v>800</v>
      </c>
      <c r="H11" s="113" t="n">
        <v>0</v>
      </c>
      <c r="I11" s="113" t="n">
        <v>0</v>
      </c>
      <c r="J11" s="113" t="n">
        <v>0</v>
      </c>
      <c r="K11" s="113" t="n">
        <v>475</v>
      </c>
      <c r="L11" s="113" t="n">
        <v>0</v>
      </c>
      <c r="M11" s="113" t="n">
        <v>0</v>
      </c>
    </row>
    <row r="12" customFormat="false" ht="15" hidden="false" customHeight="true" outlineLevel="0" collapsed="false">
      <c r="B12" s="96" t="s">
        <v>739</v>
      </c>
      <c r="C12" s="97" t="n">
        <v>7</v>
      </c>
      <c r="D12" s="113" t="n">
        <v>570</v>
      </c>
      <c r="E12" s="113" t="n">
        <v>475</v>
      </c>
      <c r="F12" s="113" t="n">
        <v>380</v>
      </c>
      <c r="G12" s="113" t="n">
        <v>285</v>
      </c>
      <c r="H12" s="113" t="n">
        <v>285</v>
      </c>
      <c r="I12" s="113" t="n">
        <v>285</v>
      </c>
      <c r="J12" s="113" t="n">
        <v>0</v>
      </c>
      <c r="K12" s="113" t="n">
        <v>285</v>
      </c>
      <c r="L12" s="113" t="n">
        <v>0</v>
      </c>
      <c r="M12" s="113" t="n">
        <v>285</v>
      </c>
    </row>
    <row r="13" customFormat="false" ht="15" hidden="false" customHeight="true" outlineLevel="0" collapsed="false">
      <c r="B13" s="96" t="s">
        <v>740</v>
      </c>
      <c r="C13" s="97" t="n">
        <v>5</v>
      </c>
      <c r="D13" s="113" t="n">
        <v>237.5</v>
      </c>
      <c r="E13" s="113" t="n">
        <v>380</v>
      </c>
      <c r="F13" s="113" t="n">
        <v>380</v>
      </c>
      <c r="G13" s="113" t="n">
        <v>285</v>
      </c>
      <c r="H13" s="113" t="n">
        <v>285</v>
      </c>
      <c r="I13" s="113" t="n">
        <v>285</v>
      </c>
      <c r="J13" s="113" t="n">
        <v>285</v>
      </c>
      <c r="K13" s="113" t="n">
        <v>285</v>
      </c>
      <c r="L13" s="113" t="n">
        <v>285</v>
      </c>
      <c r="M13" s="113" t="n">
        <v>285</v>
      </c>
    </row>
    <row r="14" customFormat="false" ht="15" hidden="false" customHeight="true" outlineLevel="0" collapsed="false">
      <c r="B14" s="96" t="s">
        <v>741</v>
      </c>
      <c r="C14" s="97" t="n">
        <v>4</v>
      </c>
      <c r="D14" s="113" t="n">
        <v>475</v>
      </c>
      <c r="E14" s="113" t="n">
        <v>760</v>
      </c>
      <c r="F14" s="113" t="n">
        <v>950</v>
      </c>
      <c r="G14" s="113" t="n">
        <v>760</v>
      </c>
      <c r="H14" s="113" t="n">
        <v>570</v>
      </c>
      <c r="I14" s="113" t="n">
        <v>760</v>
      </c>
      <c r="J14" s="113" t="n">
        <v>570</v>
      </c>
      <c r="K14" s="113" t="n">
        <v>760</v>
      </c>
      <c r="L14" s="113" t="n">
        <v>570</v>
      </c>
      <c r="M14" s="113" t="n">
        <v>760</v>
      </c>
    </row>
    <row r="15" customFormat="false" ht="15" hidden="false" customHeight="true" outlineLevel="0" collapsed="false">
      <c r="B15" s="96" t="s">
        <v>742</v>
      </c>
      <c r="C15" s="97" t="n">
        <v>20</v>
      </c>
      <c r="D15" s="113" t="n">
        <v>0</v>
      </c>
      <c r="E15" s="113" t="n">
        <v>500</v>
      </c>
      <c r="F15" s="113" t="n">
        <v>1000</v>
      </c>
      <c r="G15" s="113" t="n">
        <v>3000</v>
      </c>
      <c r="H15" s="113" t="n">
        <v>2200</v>
      </c>
      <c r="I15" s="113" t="n">
        <v>475</v>
      </c>
      <c r="J15" s="113" t="n">
        <v>0</v>
      </c>
      <c r="K15" s="113" t="n">
        <v>0</v>
      </c>
      <c r="L15" s="113" t="n">
        <v>475</v>
      </c>
      <c r="M15" s="113" t="n">
        <v>0</v>
      </c>
    </row>
    <row r="16" customFormat="false" ht="15" hidden="false" customHeight="true" outlineLevel="0" collapsed="false">
      <c r="B16" s="96" t="s">
        <v>743</v>
      </c>
      <c r="C16" s="97" t="n">
        <v>20</v>
      </c>
      <c r="D16" s="113" t="n">
        <v>0</v>
      </c>
      <c r="E16" s="113" t="n">
        <v>400</v>
      </c>
      <c r="F16" s="113" t="n">
        <v>800</v>
      </c>
      <c r="G16" s="113" t="n">
        <v>2200</v>
      </c>
      <c r="H16" s="113" t="n">
        <v>2000</v>
      </c>
      <c r="I16" s="113" t="n">
        <v>475</v>
      </c>
      <c r="J16" s="113" t="n">
        <v>0</v>
      </c>
      <c r="K16" s="113" t="n">
        <v>0</v>
      </c>
      <c r="L16" s="113" t="n">
        <v>0</v>
      </c>
      <c r="M16" s="113" t="n">
        <v>0</v>
      </c>
    </row>
    <row r="17" customFormat="false" ht="15" hidden="false" customHeight="true" outlineLevel="0" collapsed="false">
      <c r="B17" s="96" t="s">
        <v>744</v>
      </c>
      <c r="C17" s="97" t="n">
        <v>15</v>
      </c>
      <c r="D17" s="113" t="n">
        <v>400</v>
      </c>
      <c r="E17" s="113" t="n">
        <v>700</v>
      </c>
      <c r="F17" s="113" t="n">
        <v>1200</v>
      </c>
      <c r="G17" s="113" t="n">
        <v>1500</v>
      </c>
      <c r="H17" s="113" t="n">
        <v>1500</v>
      </c>
      <c r="I17" s="113" t="n">
        <v>760</v>
      </c>
      <c r="J17" s="113" t="n">
        <v>380</v>
      </c>
      <c r="K17" s="113" t="n">
        <v>380</v>
      </c>
      <c r="L17" s="113" t="n">
        <v>380</v>
      </c>
      <c r="M17" s="113" t="n">
        <v>380</v>
      </c>
    </row>
    <row r="18" customFormat="false" ht="15" hidden="false" customHeight="true" outlineLevel="0" collapsed="false">
      <c r="B18" s="96" t="s">
        <v>745</v>
      </c>
      <c r="C18" s="97" t="n">
        <v>5</v>
      </c>
      <c r="D18" s="113" t="n">
        <v>380</v>
      </c>
      <c r="E18" s="113" t="n">
        <v>475</v>
      </c>
      <c r="F18" s="113" t="n">
        <v>570</v>
      </c>
      <c r="G18" s="113" t="n">
        <v>475</v>
      </c>
      <c r="H18" s="113" t="n">
        <v>475</v>
      </c>
      <c r="I18" s="113" t="n">
        <v>380</v>
      </c>
      <c r="J18" s="113" t="n">
        <v>380</v>
      </c>
      <c r="K18" s="113" t="n">
        <v>380</v>
      </c>
      <c r="L18" s="113" t="n">
        <v>380</v>
      </c>
      <c r="M18" s="113" t="n">
        <v>380</v>
      </c>
    </row>
    <row r="19" customFormat="false" ht="15" hidden="false" customHeight="true" outlineLevel="0" collapsed="false">
      <c r="B19" s="96" t="s">
        <v>746</v>
      </c>
      <c r="C19" s="97" t="n">
        <v>5</v>
      </c>
      <c r="D19" s="113" t="n">
        <v>95</v>
      </c>
      <c r="E19" s="113" t="n">
        <v>190</v>
      </c>
      <c r="F19" s="113" t="n">
        <v>285</v>
      </c>
      <c r="G19" s="113" t="n">
        <v>285</v>
      </c>
      <c r="H19" s="113" t="n">
        <v>285</v>
      </c>
      <c r="I19" s="113" t="n">
        <v>190</v>
      </c>
      <c r="J19" s="113" t="n">
        <v>190</v>
      </c>
      <c r="K19" s="113" t="n">
        <v>190</v>
      </c>
      <c r="L19" s="113" t="n">
        <v>190</v>
      </c>
      <c r="M19" s="113" t="n">
        <v>190</v>
      </c>
    </row>
    <row r="20" customFormat="false" ht="33.75" hidden="false" customHeight="true" outlineLevel="0" collapsed="false">
      <c r="B20" s="96" t="s">
        <v>747</v>
      </c>
      <c r="C20" s="97"/>
      <c r="D20" s="113"/>
      <c r="E20" s="113"/>
      <c r="F20" s="113"/>
      <c r="G20" s="113"/>
      <c r="H20" s="113"/>
      <c r="I20" s="113"/>
      <c r="J20" s="113"/>
      <c r="K20" s="113"/>
      <c r="L20" s="113"/>
      <c r="M20" s="113"/>
    </row>
    <row r="21" customFormat="false" ht="15" hidden="false" customHeight="true" outlineLevel="0" collapsed="false">
      <c r="B21" s="53" t="s">
        <v>748</v>
      </c>
      <c r="D21" s="55" t="n">
        <f aca="false">SUM(D6:D20)/100</f>
        <v>35.45</v>
      </c>
      <c r="E21" s="55" t="n">
        <f aca="false">SUM(E6:E20)/100</f>
        <v>67.225</v>
      </c>
      <c r="F21" s="55" t="n">
        <f aca="false">SUM(F6:F20)/100</f>
        <v>118.15</v>
      </c>
      <c r="G21" s="55" t="n">
        <f aca="false">SUM(G6:G20)/100</f>
        <v>135.7</v>
      </c>
      <c r="H21" s="55" t="n">
        <f aca="false">SUM(H6:H20)/100</f>
        <v>94.375</v>
      </c>
      <c r="I21" s="55" t="n">
        <f aca="false">SUM(I6:I20)/100</f>
        <v>47.1</v>
      </c>
      <c r="J21" s="55" t="n">
        <f aca="false">SUM(J6:J20)/100</f>
        <v>19.95</v>
      </c>
      <c r="K21" s="55" t="n">
        <f aca="false">SUM(K6:K20)/100</f>
        <v>29.45</v>
      </c>
      <c r="L21" s="55" t="n">
        <f aca="false">SUM(L6:L20)/100</f>
        <v>29.925</v>
      </c>
      <c r="M21" s="55" t="n">
        <f aca="false">SUM(M6:M20)/100</f>
        <v>22.8</v>
      </c>
    </row>
    <row r="23" customFormat="false" ht="21.75" hidden="false" customHeight="true" outlineLevel="0" collapsed="false">
      <c r="B23" s="6" t="s">
        <v>749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true" outlineLevel="0" collapsed="false">
      <c r="B24" s="99" t="s">
        <v>750</v>
      </c>
      <c r="D24" s="25" t="n">
        <f aca="false">(IF(C6&gt;0,D6/C6,0))/100</f>
        <v>0.339285714285714</v>
      </c>
      <c r="E24" s="25" t="n">
        <f aca="false">(IF(C6&gt;1,D6/C6,0)+IF(C6&gt;0,E6/C6,0))/100</f>
        <v>0.542857142857143</v>
      </c>
      <c r="F24" s="25" t="n">
        <f aca="false">(IF(C6&gt;2,D6/C6,0)+IF(C6&gt;1,E6/C6,0)+IF(C6&gt;0,F6/C6,0))/100</f>
        <v>0.542857142857143</v>
      </c>
      <c r="G24" s="25" t="n">
        <f aca="false">(IF(C6&gt;3,D6/C6,0)+IF(C6&gt;2,E6/C6,0)+IF(C6&gt;1,F6/C6,0)+IF(C6&gt;0,G6/C6,0))/100</f>
        <v>0.542857142857143</v>
      </c>
      <c r="H24" s="25" t="n">
        <f aca="false">(IF(C6&gt;4,D6/C6,0)+IF(C6&gt;3,E6/C6,0)+IF(C6&gt;2,F6/C6,0)+IF(C6&gt;1,G6/C6,0)+IF(C6&gt;0,H6/C6,0))/100</f>
        <v>0.882142857142857</v>
      </c>
      <c r="I24" s="25" t="n">
        <f aca="false">(IF(C6&gt;5,D6/C6,0)+IF(C6&gt;4,E6/C6,0)+IF(C6&gt;3,F6/C6,0)+IF(C6&gt;2,G6/C6,0)+IF(C6&gt;1,H6/C6,0)+IF(C6&gt;0,I6/C6,0))/100</f>
        <v>0.882142857142857</v>
      </c>
      <c r="J24" s="25" t="n">
        <f aca="false">(IF(C6&gt;6,D6/C6,0)+IF(C6&gt;5,E6/C6,0)+IF(C6&gt;4,F6/C6,0)+IF(C6&gt;3,G6/C6,0)+IF(C6&gt;2,H6/C6,0)+IF(C6&gt;1,I6/C6,0)+IF(C6&gt;0,J6/C6,0))/100</f>
        <v>0.882142857142857</v>
      </c>
      <c r="K24" s="25" t="n">
        <f aca="false">(IF(C6&gt;7,D6/C6,0)+IF(C6&gt;6,E6/C6,0)+IF(C6&gt;5,F6/C6,0)+IF(C6&gt;4,G6/C6,0)+IF(C6&gt;3,H6/C6,0)+IF(C6&gt;2,I6/C6,0)+IF(C6&gt;1,J6/C6,0)+IF(C6&gt;0,K6/C6,0))/100</f>
        <v>0.542857142857143</v>
      </c>
      <c r="L24" s="25" t="n">
        <f aca="false">(IF(C6&gt;8,D6/C6,0)+IF(C6&gt;7,E6/C6,0)+IF(C6&gt;6,F6/C6,0)+IF(C6&gt;5,G6/C6,0)+IF(C6&gt;4,H6/C6,0)+IF(C6&gt;3,I6/C6,0)+IF(C6&gt;2,J6/C6,0)+IF(C6&gt;1,K6/C6,0)+IF(C6&gt;0,L6/C6,0))/100</f>
        <v>0.678571428571429</v>
      </c>
      <c r="M24" s="25" t="n">
        <f aca="false">(IF(C6&gt;9,D6/C6,0)+IF(C6&gt;8,E6/C6,0)+IF(C6&gt;7,F6/C6,0)+IF(C6&gt;6,G6/C6,0)+IF(C6&gt;5,H6/C6,0)+IF(C6&gt;4,I6/C6,0)+IF(C6&gt;3,J6/C6,0)+IF(C6&gt;2,K6/C6,0)+IF(C6&gt;1,L6/C6,0)+IF(C6&gt;0,M6/C6,0))/100</f>
        <v>0.678571428571429</v>
      </c>
    </row>
    <row r="25" customFormat="false" ht="23.25" hidden="false" customHeight="true" outlineLevel="0" collapsed="false">
      <c r="B25" s="99" t="s">
        <v>751</v>
      </c>
      <c r="D25" s="25" t="n">
        <f aca="false">(IF(C7&gt;0,D7/C7,0))/100</f>
        <v>0</v>
      </c>
      <c r="E25" s="25" t="n">
        <f aca="false">(IF(C7&gt;1,D7/C7,0)+IF(C7&gt;0,E7/C7,0))/100</f>
        <v>0</v>
      </c>
      <c r="F25" s="25" t="n">
        <f aca="false">(IF(C7&gt;2,D7/C7,0)+IF(C7&gt;1,E7/C7,0)+IF(C7&gt;0,F7/C7,0))/100</f>
        <v>1.66666666666667</v>
      </c>
      <c r="G25" s="25" t="n">
        <f aca="false">(IF(C7&gt;3,D7/C7,0)+IF(C7&gt;2,E7/C7,0)+IF(C7&gt;1,F7/C7,0)+IF(C7&gt;0,G7/C7,0))/100</f>
        <v>3.33333333333333</v>
      </c>
      <c r="H25" s="25" t="n">
        <f aca="false">(IF(C7&gt;4,D7/C7,0)+IF(C7&gt;3,E7/C7,0)+IF(C7&gt;2,F7/C7,0)+IF(C7&gt;1,G7/C7,0)+IF(C7&gt;0,H7/C7,0))/100</f>
        <v>4</v>
      </c>
      <c r="I25" s="25" t="n">
        <f aca="false">(IF(C7&gt;5,D7/C7,0)+IF(C7&gt;4,E7/C7,0)+IF(C7&gt;3,F7/C7,0)+IF(C7&gt;2,G7/C7,0)+IF(C7&gt;1,H7/C7,0)+IF(C7&gt;0,I7/C7,0))/100</f>
        <v>4</v>
      </c>
      <c r="J25" s="25" t="n">
        <f aca="false">(IF(C7&gt;6,D7/C7,0)+IF(C7&gt;5,E7/C7,0)+IF(C7&gt;4,F7/C7,0)+IF(C7&gt;3,G7/C7,0)+IF(C7&gt;2,H7/C7,0)+IF(C7&gt;1,I7/C7,0)+IF(C7&gt;0,J7/C7,0))/100</f>
        <v>4</v>
      </c>
      <c r="K25" s="25" t="n">
        <f aca="false">(IF(C7&gt;7,D7/C7,0)+IF(C7&gt;6,E7/C7,0)+IF(C7&gt;5,F7/C7,0)+IF(C7&gt;4,G7/C7,0)+IF(C7&gt;3,H7/C7,0)+IF(C7&gt;2,I7/C7,0)+IF(C7&gt;1,J7/C7,0)+IF(C7&gt;0,K7/C7,0))/100</f>
        <v>4</v>
      </c>
      <c r="L25" s="25" t="n">
        <f aca="false">(IF(C7&gt;8,D7/C7,0)+IF(C7&gt;7,E7/C7,0)+IF(C7&gt;6,F7/C7,0)+IF(C7&gt;5,G7/C7,0)+IF(C7&gt;4,H7/C7,0)+IF(C7&gt;3,I7/C7,0)+IF(C7&gt;2,J7/C7,0)+IF(C7&gt;1,K7/C7,0)+IF(C7&gt;0,L7/C7,0))/100</f>
        <v>4</v>
      </c>
      <c r="M25" s="25" t="n">
        <f aca="false">(IF(C7&gt;9,D7/C7,0)+IF(C7&gt;8,E7/C7,0)+IF(C7&gt;7,F7/C7,0)+IF(C7&gt;6,G7/C7,0)+IF(C7&gt;5,H7/C7,0)+IF(C7&gt;4,I7/C7,0)+IF(C7&gt;3,J7/C7,0)+IF(C7&gt;2,K7/C7,0)+IF(C7&gt;1,L7/C7,0)+IF(C7&gt;0,M7/C7,0))/100</f>
        <v>4</v>
      </c>
    </row>
    <row r="26" customFormat="false" ht="15" hidden="false" customHeight="true" outlineLevel="0" collapsed="false">
      <c r="B26" s="99" t="s">
        <v>752</v>
      </c>
      <c r="D26" s="25" t="n">
        <f aca="false">(IF(C8&gt;0,D8/C8,0))/100</f>
        <v>0.4</v>
      </c>
      <c r="E26" s="25" t="n">
        <f aca="false">(IF(C8&gt;1,D8/C8,0)+IF(C8&gt;0,E8/C8,0))/100</f>
        <v>1.1</v>
      </c>
      <c r="F26" s="25" t="n">
        <f aca="false">(IF(C8&gt;2,D8/C8,0)+IF(C8&gt;1,E8/C8,0)+IF(C8&gt;0,F8/C8,0))/100</f>
        <v>1.95</v>
      </c>
      <c r="G26" s="25" t="n">
        <f aca="false">(IF(C8&gt;3,D8/C8,0)+IF(C8&gt;2,E8/C8,0)+IF(C8&gt;1,F8/C8,0)+IF(C8&gt;0,G8/C8,0))/100</f>
        <v>2.45</v>
      </c>
      <c r="H26" s="25" t="n">
        <f aca="false">(IF(C8&gt;4,D8/C8,0)+IF(C8&gt;3,E8/C8,0)+IF(C8&gt;2,F8/C8,0)+IF(C8&gt;1,G8/C8,0)+IF(C8&gt;0,H8/C8,0))/100</f>
        <v>2.45</v>
      </c>
      <c r="I26" s="25" t="n">
        <f aca="false">(IF(C8&gt;5,D8/C8,0)+IF(C8&gt;4,E8/C8,0)+IF(C8&gt;3,F8/C8,0)+IF(C8&gt;2,G8/C8,0)+IF(C8&gt;1,H8/C8,0)+IF(C8&gt;0,I8/C8,0))/100</f>
        <v>2.45</v>
      </c>
      <c r="J26" s="25" t="n">
        <f aca="false">(IF(C8&gt;6,D8/C8,0)+IF(C8&gt;5,E8/C8,0)+IF(C8&gt;4,F8/C8,0)+IF(C8&gt;3,G8/C8,0)+IF(C8&gt;2,H8/C8,0)+IF(C8&gt;1,I8/C8,0)+IF(C8&gt;0,J8/C8,0))/100</f>
        <v>2.64</v>
      </c>
      <c r="K26" s="25" t="n">
        <f aca="false">(IF(C8&gt;7,D8/C8,0)+IF(C8&gt;6,E8/C8,0)+IF(C8&gt;5,F8/C8,0)+IF(C8&gt;4,G8/C8,0)+IF(C8&gt;3,H8/C8,0)+IF(C8&gt;2,I8/C8,0)+IF(C8&gt;1,J8/C8,0)+IF(C8&gt;0,K8/C8,0))/100</f>
        <v>2.64</v>
      </c>
      <c r="L26" s="25" t="n">
        <f aca="false">(IF(C8&gt;8,D8/C8,0)+IF(C8&gt;7,E8/C8,0)+IF(C8&gt;6,F8/C8,0)+IF(C8&gt;5,G8/C8,0)+IF(C8&gt;4,H8/C8,0)+IF(C8&gt;3,I8/C8,0)+IF(C8&gt;2,J8/C8,0)+IF(C8&gt;1,K8/C8,0)+IF(C8&gt;0,L8/C8,0))/100</f>
        <v>2.64</v>
      </c>
      <c r="M26" s="25" t="n">
        <f aca="false">(IF(C8&gt;9,D8/C8,0)+IF(C8&gt;8,E8/C8,0)+IF(C8&gt;7,F8/C8,0)+IF(C8&gt;6,G8/C8,0)+IF(C8&gt;5,H8/C8,0)+IF(C8&gt;4,I8/C8,0)+IF(C8&gt;3,J8/C8,0)+IF(C8&gt;2,K8/C8,0)+IF(C8&gt;1,L8/C8,0)+IF(C8&gt;0,M8/C8,0))/100</f>
        <v>2.64</v>
      </c>
    </row>
    <row r="27" customFormat="false" ht="15" hidden="false" customHeight="true" outlineLevel="0" collapsed="false">
      <c r="B27" s="99" t="s">
        <v>753</v>
      </c>
      <c r="D27" s="25" t="n">
        <f aca="false">(IF(C9&gt;0,D9/C9,0))/100</f>
        <v>0.714285714285714</v>
      </c>
      <c r="E27" s="25" t="n">
        <f aca="false">(IF(C9&gt;1,D9/C9,0)+IF(C9&gt;0,E9/C9,0))/100</f>
        <v>2.14285714285714</v>
      </c>
      <c r="F27" s="25" t="n">
        <f aca="false">(IF(C9&gt;2,D9/C9,0)+IF(C9&gt;1,E9/C9,0)+IF(C9&gt;0,F9/C9,0))/100</f>
        <v>3.85714285714286</v>
      </c>
      <c r="G27" s="25" t="n">
        <f aca="false">(IF(C9&gt;3,D9/C9,0)+IF(C9&gt;2,E9/C9,0)+IF(C9&gt;1,F9/C9,0)+IF(C9&gt;0,G9/C9,0))/100</f>
        <v>4.71428571428571</v>
      </c>
      <c r="H27" s="25" t="n">
        <f aca="false">(IF(C9&gt;4,D9/C9,0)+IF(C9&gt;3,E9/C9,0)+IF(C9&gt;2,F9/C9,0)+IF(C9&gt;1,G9/C9,0)+IF(C9&gt;0,H9/C9,0))/100</f>
        <v>5.57142857142857</v>
      </c>
      <c r="I27" s="25" t="n">
        <f aca="false">(IF(C9&gt;5,D9/C9,0)+IF(C9&gt;4,E9/C9,0)+IF(C9&gt;3,F9/C9,0)+IF(C9&gt;2,G9/C9,0)+IF(C9&gt;1,H9/C9,0)+IF(C9&gt;0,I9/C9,0))/100</f>
        <v>7.14285714285714</v>
      </c>
      <c r="J27" s="25" t="n">
        <f aca="false">(IF(C9&gt;6,D9/C9,0)+IF(C9&gt;5,E9/C9,0)+IF(C9&gt;4,F9/C9,0)+IF(C9&gt;3,G9/C9,0)+IF(C9&gt;2,H9/C9,0)+IF(C9&gt;1,I9/C9,0)+IF(C9&gt;0,J9/C9,0))/100</f>
        <v>7.14285714285714</v>
      </c>
      <c r="K27" s="25" t="n">
        <f aca="false">(IF(C9&gt;7,D9/C9,0)+IF(C9&gt;6,E9/C9,0)+IF(C9&gt;5,F9/C9,0)+IF(C9&gt;4,G9/C9,0)+IF(C9&gt;3,H9/C9,0)+IF(C9&gt;2,I9/C9,0)+IF(C9&gt;1,J9/C9,0)+IF(C9&gt;0,K9/C9,0))/100</f>
        <v>6.42857142857143</v>
      </c>
      <c r="L27" s="25" t="n">
        <f aca="false">(IF(C9&gt;8,D9/C9,0)+IF(C9&gt;7,E9/C9,0)+IF(C9&gt;6,F9/C9,0)+IF(C9&gt;5,G9/C9,0)+IF(C9&gt;4,H9/C9,0)+IF(C9&gt;3,I9/C9,0)+IF(C9&gt;2,J9/C9,0)+IF(C9&gt;1,K9/C9,0)+IF(C9&gt;0,L9/C9,0))/100</f>
        <v>5.67857142857143</v>
      </c>
      <c r="M27" s="25" t="n">
        <f aca="false">(IF(C9&gt;9,D9/C9,0)+IF(C9&gt;8,E9/C9,0)+IF(C9&gt;7,F9/C9,0)+IF(C9&gt;6,G9/C9,0)+IF(C9&gt;5,H9/C9,0)+IF(C9&gt;4,I9/C9,0)+IF(C9&gt;3,J9/C9,0)+IF(C9&gt;2,K9/C9,0)+IF(C9&gt;1,L9/C9,0)+IF(C9&gt;0,M9/C9,0))/100</f>
        <v>3.96428571428571</v>
      </c>
    </row>
    <row r="28" customFormat="false" ht="23.25" hidden="false" customHeight="true" outlineLevel="0" collapsed="false">
      <c r="B28" s="99" t="s">
        <v>754</v>
      </c>
      <c r="D28" s="25" t="n">
        <f aca="false">(IF(C10&gt;0,D10/C10,0))/100</f>
        <v>0.25</v>
      </c>
      <c r="E28" s="25" t="n">
        <f aca="false">(IF(C10&gt;1,D10/C10,0)+IF(C10&gt;0,E10/C10,0))/100</f>
        <v>0.65</v>
      </c>
      <c r="F28" s="25" t="n">
        <f aca="false">(IF(C10&gt;2,D10/C10,0)+IF(C10&gt;1,E10/C10,0)+IF(C10&gt;0,F10/C10,0))/100</f>
        <v>1.15</v>
      </c>
      <c r="G28" s="25" t="n">
        <f aca="false">(IF(C10&gt;3,D10/C10,0)+IF(C10&gt;2,E10/C10,0)+IF(C10&gt;1,F10/C10,0)+IF(C10&gt;0,G10/C10,0))/100</f>
        <v>1.53</v>
      </c>
      <c r="H28" s="25" t="n">
        <f aca="false">(IF(C10&gt;4,D10/C10,0)+IF(C10&gt;3,E10/C10,0)+IF(C10&gt;2,F10/C10,0)+IF(C10&gt;1,G10/C10,0)+IF(C10&gt;0,H10/C10,0))/100</f>
        <v>1.53</v>
      </c>
      <c r="I28" s="25" t="n">
        <f aca="false">(IF(C10&gt;5,D10/C10,0)+IF(C10&gt;4,E10/C10,0)+IF(C10&gt;3,F10/C10,0)+IF(C10&gt;2,G10/C10,0)+IF(C10&gt;1,H10/C10,0)+IF(C10&gt;0,I10/C10,0))/100</f>
        <v>1.53</v>
      </c>
      <c r="J28" s="25" t="n">
        <f aca="false">(IF(C10&gt;6,D10/C10,0)+IF(C10&gt;5,E10/C10,0)+IF(C10&gt;4,F10/C10,0)+IF(C10&gt;3,G10/C10,0)+IF(C10&gt;2,H10/C10,0)+IF(C10&gt;1,I10/C10,0)+IF(C10&gt;0,J10/C10,0))/100</f>
        <v>1.53</v>
      </c>
      <c r="K28" s="25" t="n">
        <f aca="false">(IF(C10&gt;7,D10/C10,0)+IF(C10&gt;6,E10/C10,0)+IF(C10&gt;5,F10/C10,0)+IF(C10&gt;4,G10/C10,0)+IF(C10&gt;3,H10/C10,0)+IF(C10&gt;2,I10/C10,0)+IF(C10&gt;1,J10/C10,0)+IF(C10&gt;0,K10/C10,0))/100</f>
        <v>1.72</v>
      </c>
      <c r="L28" s="25" t="n">
        <f aca="false">(IF(C10&gt;8,D10/C10,0)+IF(C10&gt;7,E10/C10,0)+IF(C10&gt;6,F10/C10,0)+IF(C10&gt;5,G10/C10,0)+IF(C10&gt;4,H10/C10,0)+IF(C10&gt;3,I10/C10,0)+IF(C10&gt;2,J10/C10,0)+IF(C10&gt;1,K10/C10,0)+IF(C10&gt;0,L10/C10,0))/100</f>
        <v>1.72</v>
      </c>
      <c r="M28" s="25" t="n">
        <f aca="false">(IF(C10&gt;9,D10/C10,0)+IF(C10&gt;8,E10/C10,0)+IF(C10&gt;7,F10/C10,0)+IF(C10&gt;6,G10/C10,0)+IF(C10&gt;5,H10/C10,0)+IF(C10&gt;4,I10/C10,0)+IF(C10&gt;3,J10/C10,0)+IF(C10&gt;2,K10/C10,0)+IF(C10&gt;1,L10/C10,0)+IF(C10&gt;0,M10/C10,0))/100</f>
        <v>1.72</v>
      </c>
    </row>
    <row r="29" customFormat="false" ht="23.25" hidden="false" customHeight="true" outlineLevel="0" collapsed="false">
      <c r="B29" s="99" t="s">
        <v>755</v>
      </c>
      <c r="D29" s="25" t="n">
        <f aca="false">(IF(C11&gt;0,D11/C11,0))/100</f>
        <v>0</v>
      </c>
      <c r="E29" s="25" t="n">
        <f aca="false">(IF(C11&gt;1,D11/C11,0)+IF(C11&gt;0,E11/C11,0))/100</f>
        <v>0.4</v>
      </c>
      <c r="F29" s="25" t="n">
        <f aca="false">(IF(C11&gt;2,D11/C11,0)+IF(C11&gt;1,E11/C11,0)+IF(C11&gt;0,F11/C11,0))/100</f>
        <v>1.2</v>
      </c>
      <c r="G29" s="25" t="n">
        <f aca="false">(IF(C11&gt;3,D11/C11,0)+IF(C11&gt;2,E11/C11,0)+IF(C11&gt;1,F11/C11,0)+IF(C11&gt;0,G11/C11,0))/100</f>
        <v>1.73333333333333</v>
      </c>
      <c r="H29" s="25" t="n">
        <f aca="false">(IF(C11&gt;4,D11/C11,0)+IF(C11&gt;3,E11/C11,0)+IF(C11&gt;2,F11/C11,0)+IF(C11&gt;1,G11/C11,0)+IF(C11&gt;0,H11/C11,0))/100</f>
        <v>1.73333333333333</v>
      </c>
      <c r="I29" s="25" t="n">
        <f aca="false">(IF(C11&gt;5,D11/C11,0)+IF(C11&gt;4,E11/C11,0)+IF(C11&gt;3,F11/C11,0)+IF(C11&gt;2,G11/C11,0)+IF(C11&gt;1,H11/C11,0)+IF(C11&gt;0,I11/C11,0))/100</f>
        <v>1.73333333333333</v>
      </c>
      <c r="J29" s="25" t="n">
        <f aca="false">(IF(C11&gt;6,D11/C11,0)+IF(C11&gt;5,E11/C11,0)+IF(C11&gt;4,F11/C11,0)+IF(C11&gt;3,G11/C11,0)+IF(C11&gt;2,H11/C11,0)+IF(C11&gt;1,I11/C11,0)+IF(C11&gt;0,J11/C11,0))/100</f>
        <v>1.73333333333333</v>
      </c>
      <c r="K29" s="25" t="n">
        <f aca="false">(IF(C11&gt;7,D11/C11,0)+IF(C11&gt;6,E11/C11,0)+IF(C11&gt;5,F11/C11,0)+IF(C11&gt;4,G11/C11,0)+IF(C11&gt;3,H11/C11,0)+IF(C11&gt;2,I11/C11,0)+IF(C11&gt;1,J11/C11,0)+IF(C11&gt;0,K11/C11,0))/100</f>
        <v>2.05</v>
      </c>
      <c r="L29" s="25" t="n">
        <f aca="false">(IF(C11&gt;8,D11/C11,0)+IF(C11&gt;7,E11/C11,0)+IF(C11&gt;6,F11/C11,0)+IF(C11&gt;5,G11/C11,0)+IF(C11&gt;4,H11/C11,0)+IF(C11&gt;3,I11/C11,0)+IF(C11&gt;2,J11/C11,0)+IF(C11&gt;1,K11/C11,0)+IF(C11&gt;0,L11/C11,0))/100</f>
        <v>2.05</v>
      </c>
      <c r="M29" s="25" t="n">
        <f aca="false">(IF(C11&gt;9,D11/C11,0)+IF(C11&gt;8,E11/C11,0)+IF(C11&gt;7,F11/C11,0)+IF(C11&gt;6,G11/C11,0)+IF(C11&gt;5,H11/C11,0)+IF(C11&gt;4,I11/C11,0)+IF(C11&gt;3,J11/C11,0)+IF(C11&gt;2,K11/C11,0)+IF(C11&gt;1,L11/C11,0)+IF(C11&gt;0,M11/C11,0))/100</f>
        <v>2.05</v>
      </c>
    </row>
    <row r="30" customFormat="false" ht="23.25" hidden="false" customHeight="true" outlineLevel="0" collapsed="false">
      <c r="B30" s="99" t="s">
        <v>756</v>
      </c>
      <c r="D30" s="25" t="n">
        <f aca="false">(IF(C12&gt;0,D12/C12,0))/100</f>
        <v>0.814285714285714</v>
      </c>
      <c r="E30" s="25" t="n">
        <f aca="false">(IF(C12&gt;1,D12/C12,0)+IF(C12&gt;0,E12/C12,0))/100</f>
        <v>1.49285714285714</v>
      </c>
      <c r="F30" s="25" t="n">
        <f aca="false">(IF(C12&gt;2,D12/C12,0)+IF(C12&gt;1,E12/C12,0)+IF(C12&gt;0,F12/C12,0))/100</f>
        <v>2.03571428571429</v>
      </c>
      <c r="G30" s="25" t="n">
        <f aca="false">(IF(C12&gt;3,D12/C12,0)+IF(C12&gt;2,E12/C12,0)+IF(C12&gt;1,F12/C12,0)+IF(C12&gt;0,G12/C12,0))/100</f>
        <v>2.44285714285714</v>
      </c>
      <c r="H30" s="25" t="n">
        <f aca="false">(IF(C12&gt;4,D12/C12,0)+IF(C12&gt;3,E12/C12,0)+IF(C12&gt;2,F12/C12,0)+IF(C12&gt;1,G12/C12,0)+IF(C12&gt;0,H12/C12,0))/100</f>
        <v>2.85</v>
      </c>
      <c r="I30" s="25" t="n">
        <f aca="false">(IF(C12&gt;5,D12/C12,0)+IF(C12&gt;4,E12/C12,0)+IF(C12&gt;3,F12/C12,0)+IF(C12&gt;2,G12/C12,0)+IF(C12&gt;1,H12/C12,0)+IF(C12&gt;0,I12/C12,0))/100</f>
        <v>3.25714285714286</v>
      </c>
      <c r="J30" s="25" t="n">
        <f aca="false">(IF(C12&gt;6,D12/C12,0)+IF(C12&gt;5,E12/C12,0)+IF(C12&gt;4,F12/C12,0)+IF(C12&gt;3,G12/C12,0)+IF(C12&gt;2,H12/C12,0)+IF(C12&gt;1,I12/C12,0)+IF(C12&gt;0,J12/C12,0))/100</f>
        <v>3.25714285714286</v>
      </c>
      <c r="K30" s="25" t="n">
        <f aca="false">(IF(C12&gt;7,D12/C12,0)+IF(C12&gt;6,E12/C12,0)+IF(C12&gt;5,F12/C12,0)+IF(C12&gt;4,G12/C12,0)+IF(C12&gt;3,H12/C12,0)+IF(C12&gt;2,I12/C12,0)+IF(C12&gt;1,J12/C12,0)+IF(C12&gt;0,K12/C12,0))/100</f>
        <v>2.85</v>
      </c>
      <c r="L30" s="25" t="n">
        <f aca="false">(IF(C12&gt;8,D12/C12,0)+IF(C12&gt;7,E12/C12,0)+IF(C12&gt;6,F12/C12,0)+IF(C12&gt;5,G12/C12,0)+IF(C12&gt;4,H12/C12,0)+IF(C12&gt;3,I12/C12,0)+IF(C12&gt;2,J12/C12,0)+IF(C12&gt;1,K12/C12,0)+IF(C12&gt;0,L12/C12,0))/100</f>
        <v>2.17142857142857</v>
      </c>
      <c r="M30" s="25" t="n">
        <f aca="false">(IF(C12&gt;9,D12/C12,0)+IF(C12&gt;8,E12/C12,0)+IF(C12&gt;7,F12/C12,0)+IF(C12&gt;6,G12/C12,0)+IF(C12&gt;5,H12/C12,0)+IF(C12&gt;4,I12/C12,0)+IF(C12&gt;3,J12/C12,0)+IF(C12&gt;2,K12/C12,0)+IF(C12&gt;1,L12/C12,0)+IF(C12&gt;0,M12/C12,0))/100</f>
        <v>2.03571428571429</v>
      </c>
    </row>
    <row r="31" customFormat="false" ht="15" hidden="false" customHeight="true" outlineLevel="0" collapsed="false">
      <c r="B31" s="99" t="s">
        <v>757</v>
      </c>
      <c r="D31" s="25" t="n">
        <f aca="false">(IF(C13&gt;0,D13/C13,0))/100</f>
        <v>0.475</v>
      </c>
      <c r="E31" s="25" t="n">
        <f aca="false">(IF(C13&gt;1,D13/C13,0)+IF(C13&gt;0,E13/C13,0))/100</f>
        <v>1.235</v>
      </c>
      <c r="F31" s="25" t="n">
        <f aca="false">(IF(C13&gt;2,D13/C13,0)+IF(C13&gt;1,E13/C13,0)+IF(C13&gt;0,F13/C13,0))/100</f>
        <v>1.995</v>
      </c>
      <c r="G31" s="25" t="n">
        <f aca="false">(IF(C13&gt;3,D13/C13,0)+IF(C13&gt;2,E13/C13,0)+IF(C13&gt;1,F13/C13,0)+IF(C13&gt;0,G13/C13,0))/100</f>
        <v>2.565</v>
      </c>
      <c r="H31" s="25" t="n">
        <f aca="false">(IF(C13&gt;4,D13/C13,0)+IF(C13&gt;3,E13/C13,0)+IF(C13&gt;2,F13/C13,0)+IF(C13&gt;1,G13/C13,0)+IF(C13&gt;0,H13/C13,0))/100</f>
        <v>3.135</v>
      </c>
      <c r="I31" s="25" t="n">
        <f aca="false">(IF(C13&gt;5,D13/C13,0)+IF(C13&gt;4,E13/C13,0)+IF(C13&gt;3,F13/C13,0)+IF(C13&gt;2,G13/C13,0)+IF(C13&gt;1,H13/C13,0)+IF(C13&gt;0,I13/C13,0))/100</f>
        <v>3.23</v>
      </c>
      <c r="J31" s="25" t="n">
        <f aca="false">(IF(C13&gt;6,D13/C13,0)+IF(C13&gt;5,E13/C13,0)+IF(C13&gt;4,F13/C13,0)+IF(C13&gt;3,G13/C13,0)+IF(C13&gt;2,H13/C13,0)+IF(C13&gt;1,I13/C13,0)+IF(C13&gt;0,J13/C13,0))/100</f>
        <v>3.04</v>
      </c>
      <c r="K31" s="25" t="n">
        <f aca="false">(IF(C13&gt;7,D13/C13,0)+IF(C13&gt;6,E13/C13,0)+IF(C13&gt;5,F13/C13,0)+IF(C13&gt;4,G13/C13,0)+IF(C13&gt;3,H13/C13,0)+IF(C13&gt;2,I13/C13,0)+IF(C13&gt;1,J13/C13,0)+IF(C13&gt;0,K13/C13,0))/100</f>
        <v>2.85</v>
      </c>
      <c r="L31" s="25" t="n">
        <f aca="false">(IF(C13&gt;8,D13/C13,0)+IF(C13&gt;7,E13/C13,0)+IF(C13&gt;6,F13/C13,0)+IF(C13&gt;5,G13/C13,0)+IF(C13&gt;4,H13/C13,0)+IF(C13&gt;3,I13/C13,0)+IF(C13&gt;2,J13/C13,0)+IF(C13&gt;1,K13/C13,0)+IF(C13&gt;0,L13/C13,0))/100</f>
        <v>2.85</v>
      </c>
      <c r="M31" s="25" t="n">
        <f aca="false">(IF(C13&gt;9,D13/C13,0)+IF(C13&gt;8,E13/C13,0)+IF(C13&gt;7,F13/C13,0)+IF(C13&gt;6,G13/C13,0)+IF(C13&gt;5,H13/C13,0)+IF(C13&gt;4,I13/C13,0)+IF(C13&gt;3,J13/C13,0)+IF(C13&gt;2,K13/C13,0)+IF(C13&gt;1,L13/C13,0)+IF(C13&gt;0,M13/C13,0))/100</f>
        <v>2.85</v>
      </c>
    </row>
    <row r="32" customFormat="false" ht="15" hidden="false" customHeight="true" outlineLevel="0" collapsed="false">
      <c r="B32" s="99" t="s">
        <v>758</v>
      </c>
      <c r="D32" s="25" t="n">
        <f aca="false">(IF(C14&gt;0,D14/C14,0))/100</f>
        <v>1.1875</v>
      </c>
      <c r="E32" s="25" t="n">
        <f aca="false">(IF(C14&gt;1,D14/C14,0)+IF(C14&gt;0,E14/C14,0))/100</f>
        <v>3.0875</v>
      </c>
      <c r="F32" s="25" t="n">
        <f aca="false">(IF(C14&gt;2,D14/C14,0)+IF(C14&gt;1,E14/C14,0)+IF(C14&gt;0,F14/C14,0))/100</f>
        <v>5.4625</v>
      </c>
      <c r="G32" s="25" t="n">
        <f aca="false">(IF(C14&gt;3,D14/C14,0)+IF(C14&gt;2,E14/C14,0)+IF(C14&gt;1,F14/C14,0)+IF(C14&gt;0,G14/C14,0))/100</f>
        <v>7.3625</v>
      </c>
      <c r="H32" s="25" t="n">
        <f aca="false">(IF(C14&gt;4,D14/C14,0)+IF(C14&gt;3,E14/C14,0)+IF(C14&gt;2,F14/C14,0)+IF(C14&gt;1,G14/C14,0)+IF(C14&gt;0,H14/C14,0))/100</f>
        <v>7.6</v>
      </c>
      <c r="I32" s="25" t="n">
        <f aca="false">(IF(C14&gt;5,D14/C14,0)+IF(C14&gt;4,E14/C14,0)+IF(C14&gt;3,F14/C14,0)+IF(C14&gt;2,G14/C14,0)+IF(C14&gt;1,H14/C14,0)+IF(C14&gt;0,I14/C14,0))/100</f>
        <v>7.6</v>
      </c>
      <c r="J32" s="25" t="n">
        <f aca="false">(IF(C14&gt;6,D14/C14,0)+IF(C14&gt;5,E14/C14,0)+IF(C14&gt;4,F14/C14,0)+IF(C14&gt;3,G14/C14,0)+IF(C14&gt;2,H14/C14,0)+IF(C14&gt;1,I14/C14,0)+IF(C14&gt;0,J14/C14,0))/100</f>
        <v>6.65</v>
      </c>
      <c r="K32" s="25" t="n">
        <f aca="false">(IF(C14&gt;7,D14/C14,0)+IF(C14&gt;6,E14/C14,0)+IF(C14&gt;5,F14/C14,0)+IF(C14&gt;4,G14/C14,0)+IF(C14&gt;3,H14/C14,0)+IF(C14&gt;2,I14/C14,0)+IF(C14&gt;1,J14/C14,0)+IF(C14&gt;0,K14/C14,0))/100</f>
        <v>6.65</v>
      </c>
      <c r="L32" s="25" t="n">
        <f aca="false">(IF(C14&gt;8,D14/C14,0)+IF(C14&gt;7,E14/C14,0)+IF(C14&gt;6,F14/C14,0)+IF(C14&gt;5,G14/C14,0)+IF(C14&gt;4,H14/C14,0)+IF(C14&gt;3,I14/C14,0)+IF(C14&gt;2,J14/C14,0)+IF(C14&gt;1,K14/C14,0)+IF(C14&gt;0,L14/C14,0))/100</f>
        <v>6.65</v>
      </c>
      <c r="M32" s="25" t="n">
        <f aca="false">(IF(C14&gt;9,D14/C14,0)+IF(C14&gt;8,E14/C14,0)+IF(C14&gt;7,F14/C14,0)+IF(C14&gt;6,G14/C14,0)+IF(C14&gt;5,H14/C14,0)+IF(C14&gt;4,I14/C14,0)+IF(C14&gt;3,J14/C14,0)+IF(C14&gt;2,K14/C14,0)+IF(C14&gt;1,L14/C14,0)+IF(C14&gt;0,M14/C14,0))/100</f>
        <v>6.65</v>
      </c>
    </row>
    <row r="33" customFormat="false" ht="15" hidden="false" customHeight="true" outlineLevel="0" collapsed="false">
      <c r="B33" s="99" t="s">
        <v>759</v>
      </c>
      <c r="D33" s="25" t="n">
        <f aca="false">(IF(C15&gt;0,D15/C15,0))/100</f>
        <v>0</v>
      </c>
      <c r="E33" s="25" t="n">
        <f aca="false">(IF(C15&gt;1,D15/C15,0)+IF(C15&gt;0,E15/C15,0))/100</f>
        <v>0.25</v>
      </c>
      <c r="F33" s="25" t="n">
        <f aca="false">(IF(C15&gt;2,D15/C15,0)+IF(C15&gt;1,E15/C15,0)+IF(C15&gt;0,F15/C15,0))/100</f>
        <v>0.75</v>
      </c>
      <c r="G33" s="25" t="n">
        <f aca="false">(IF(C15&gt;3,D15/C15,0)+IF(C15&gt;2,E15/C15,0)+IF(C15&gt;1,F15/C15,0)+IF(C15&gt;0,G15/C15,0))/100</f>
        <v>2.25</v>
      </c>
      <c r="H33" s="25" t="n">
        <f aca="false">(IF(C15&gt;4,D15/C15,0)+IF(C15&gt;3,E15/C15,0)+IF(C15&gt;2,F15/C15,0)+IF(C15&gt;1,G15/C15,0)+IF(C15&gt;0,H15/C15,0))/100</f>
        <v>3.35</v>
      </c>
      <c r="I33" s="25" t="n">
        <f aca="false">(IF(C15&gt;5,D15/C15,0)+IF(C15&gt;4,E15/C15,0)+IF(C15&gt;3,F15/C15,0)+IF(C15&gt;2,G15/C15,0)+IF(C15&gt;1,H15/C15,0)+IF(C15&gt;0,I15/C15,0))/100</f>
        <v>3.5875</v>
      </c>
      <c r="J33" s="25" t="n">
        <f aca="false">(IF(C15&gt;6,D15/C15,0)+IF(C15&gt;5,E15/C15,0)+IF(C15&gt;4,F15/C15,0)+IF(C15&gt;3,G15/C15,0)+IF(C15&gt;2,H15/C15,0)+IF(C15&gt;1,I15/C15,0)+IF(C15&gt;0,J15/C15,0))/100</f>
        <v>3.5875</v>
      </c>
      <c r="K33" s="25" t="n">
        <f aca="false">(IF(C15&gt;7,D15/C15,0)+IF(C15&gt;6,E15/C15,0)+IF(C15&gt;5,F15/C15,0)+IF(C15&gt;4,G15/C15,0)+IF(C15&gt;3,H15/C15,0)+IF(C15&gt;2,I15/C15,0)+IF(C15&gt;1,J15/C15,0)+IF(C15&gt;0,K15/C15,0))/100</f>
        <v>3.5875</v>
      </c>
      <c r="L33" s="25" t="n">
        <f aca="false">(IF(C15&gt;8,D15/C15,0)+IF(C15&gt;7,E15/C15,0)+IF(C15&gt;6,F15/C15,0)+IF(C15&gt;5,G15/C15,0)+IF(C15&gt;4,H15/C15,0)+IF(C15&gt;3,I15/C15,0)+IF(C15&gt;2,J15/C15,0)+IF(C15&gt;1,K15/C15,0)+IF(C15&gt;0,L15/C15,0))/100</f>
        <v>3.825</v>
      </c>
      <c r="M33" s="25" t="n">
        <f aca="false">(IF(C15&gt;9,D15/C15,0)+IF(C15&gt;8,E15/C15,0)+IF(C15&gt;7,F15/C15,0)+IF(C15&gt;6,G15/C15,0)+IF(C15&gt;5,H15/C15,0)+IF(C15&gt;4,I15/C15,0)+IF(C15&gt;3,J15/C15,0)+IF(C15&gt;2,K15/C15,0)+IF(C15&gt;1,L15/C15,0)+IF(C15&gt;0,M15/C15,0))/100</f>
        <v>3.825</v>
      </c>
    </row>
    <row r="34" customFormat="false" ht="15" hidden="false" customHeight="true" outlineLevel="0" collapsed="false">
      <c r="B34" s="99" t="s">
        <v>760</v>
      </c>
      <c r="D34" s="25" t="n">
        <f aca="false">(IF(C16&gt;0,D16/C16,0))/100</f>
        <v>0</v>
      </c>
      <c r="E34" s="25" t="n">
        <f aca="false">(IF(C16&gt;1,D16/C16,0)+IF(C16&gt;0,E16/C16,0))/100</f>
        <v>0.2</v>
      </c>
      <c r="F34" s="25" t="n">
        <f aca="false">(IF(C16&gt;2,D16/C16,0)+IF(C16&gt;1,E16/C16,0)+IF(C16&gt;0,F16/C16,0))/100</f>
        <v>0.6</v>
      </c>
      <c r="G34" s="25" t="n">
        <f aca="false">(IF(C16&gt;3,D16/C16,0)+IF(C16&gt;2,E16/C16,0)+IF(C16&gt;1,F16/C16,0)+IF(C16&gt;0,G16/C16,0))/100</f>
        <v>1.7</v>
      </c>
      <c r="H34" s="25" t="n">
        <f aca="false">(IF(C16&gt;4,D16/C16,0)+IF(C16&gt;3,E16/C16,0)+IF(C16&gt;2,F16/C16,0)+IF(C16&gt;1,G16/C16,0)+IF(C16&gt;0,H16/C16,0))/100</f>
        <v>2.7</v>
      </c>
      <c r="I34" s="25" t="n">
        <f aca="false">(IF(C16&gt;5,D16/C16,0)+IF(C16&gt;4,E16/C16,0)+IF(C16&gt;3,F16/C16,0)+IF(C16&gt;2,G16/C16,0)+IF(C16&gt;1,H16/C16,0)+IF(C16&gt;0,I16/C16,0))/100</f>
        <v>2.9375</v>
      </c>
      <c r="J34" s="25" t="n">
        <f aca="false">(IF(C16&gt;6,D16/C16,0)+IF(C16&gt;5,E16/C16,0)+IF(C16&gt;4,F16/C16,0)+IF(C16&gt;3,G16/C16,0)+IF(C16&gt;2,H16/C16,0)+IF(C16&gt;1,I16/C16,0)+IF(C16&gt;0,J16/C16,0))/100</f>
        <v>2.9375</v>
      </c>
      <c r="K34" s="25" t="n">
        <f aca="false">(IF(C16&gt;7,D16/C16,0)+IF(C16&gt;6,E16/C16,0)+IF(C16&gt;5,F16/C16,0)+IF(C16&gt;4,G16/C16,0)+IF(C16&gt;3,H16/C16,0)+IF(C16&gt;2,I16/C16,0)+IF(C16&gt;1,J16/C16,0)+IF(C16&gt;0,K16/C16,0))/100</f>
        <v>2.9375</v>
      </c>
      <c r="L34" s="25" t="n">
        <f aca="false">(IF(C16&gt;8,D16/C16,0)+IF(C16&gt;7,E16/C16,0)+IF(C16&gt;6,F16/C16,0)+IF(C16&gt;5,G16/C16,0)+IF(C16&gt;4,H16/C16,0)+IF(C16&gt;3,I16/C16,0)+IF(C16&gt;2,J16/C16,0)+IF(C16&gt;1,K16/C16,0)+IF(C16&gt;0,L16/C16,0))/100</f>
        <v>2.9375</v>
      </c>
      <c r="M34" s="25" t="n">
        <f aca="false">(IF(C16&gt;9,D16/C16,0)+IF(C16&gt;8,E16/C16,0)+IF(C16&gt;7,F16/C16,0)+IF(C16&gt;6,G16/C16,0)+IF(C16&gt;5,H16/C16,0)+IF(C16&gt;4,I16/C16,0)+IF(C16&gt;3,J16/C16,0)+IF(C16&gt;2,K16/C16,0)+IF(C16&gt;1,L16/C16,0)+IF(C16&gt;0,M16/C16,0))/100</f>
        <v>2.9375</v>
      </c>
    </row>
    <row r="35" customFormat="false" ht="15" hidden="false" customHeight="true" outlineLevel="0" collapsed="false">
      <c r="B35" s="99" t="s">
        <v>761</v>
      </c>
      <c r="D35" s="25" t="n">
        <f aca="false">(IF(C17&gt;0,D17/C17,0))/100</f>
        <v>0.266666666666667</v>
      </c>
      <c r="E35" s="25" t="n">
        <f aca="false">(IF(C17&gt;1,D17/C17,0)+IF(C17&gt;0,E17/C17,0))/100</f>
        <v>0.733333333333333</v>
      </c>
      <c r="F35" s="25" t="n">
        <f aca="false">(IF(C17&gt;2,D17/C17,0)+IF(C17&gt;1,E17/C17,0)+IF(C17&gt;0,F17/C17,0))/100</f>
        <v>1.53333333333333</v>
      </c>
      <c r="G35" s="25" t="n">
        <f aca="false">(IF(C17&gt;3,D17/C17,0)+IF(C17&gt;2,E17/C17,0)+IF(C17&gt;1,F17/C17,0)+IF(C17&gt;0,G17/C17,0))/100</f>
        <v>2.53333333333333</v>
      </c>
      <c r="H35" s="25" t="n">
        <f aca="false">(IF(C17&gt;4,D17/C17,0)+IF(C17&gt;3,E17/C17,0)+IF(C17&gt;2,F17/C17,0)+IF(C17&gt;1,G17/C17,0)+IF(C17&gt;0,H17/C17,0))/100</f>
        <v>3.53333333333333</v>
      </c>
      <c r="I35" s="25" t="n">
        <f aca="false">(IF(C17&gt;5,D17/C17,0)+IF(C17&gt;4,E17/C17,0)+IF(C17&gt;3,F17/C17,0)+IF(C17&gt;2,G17/C17,0)+IF(C17&gt;1,H17/C17,0)+IF(C17&gt;0,I17/C17,0))/100</f>
        <v>4.04</v>
      </c>
      <c r="J35" s="25" t="n">
        <f aca="false">(IF(C17&gt;6,D17/C17,0)+IF(C17&gt;5,E17/C17,0)+IF(C17&gt;4,F17/C17,0)+IF(C17&gt;3,G17/C17,0)+IF(C17&gt;2,H17/C17,0)+IF(C17&gt;1,I17/C17,0)+IF(C17&gt;0,J17/C17,0))/100</f>
        <v>4.29333333333333</v>
      </c>
      <c r="K35" s="25" t="n">
        <f aca="false">(IF(C17&gt;7,D17/C17,0)+IF(C17&gt;6,E17/C17,0)+IF(C17&gt;5,F17/C17,0)+IF(C17&gt;4,G17/C17,0)+IF(C17&gt;3,H17/C17,0)+IF(C17&gt;2,I17/C17,0)+IF(C17&gt;1,J17/C17,0)+IF(C17&gt;0,K17/C17,0))/100</f>
        <v>4.54666666666667</v>
      </c>
      <c r="L35" s="25" t="n">
        <f aca="false">(IF(C17&gt;8,D17/C17,0)+IF(C17&gt;7,E17/C17,0)+IF(C17&gt;6,F17/C17,0)+IF(C17&gt;5,G17/C17,0)+IF(C17&gt;4,H17/C17,0)+IF(C17&gt;3,I17/C17,0)+IF(C17&gt;2,J17/C17,0)+IF(C17&gt;1,K17/C17,0)+IF(C17&gt;0,L17/C17,0))/100</f>
        <v>4.8</v>
      </c>
      <c r="M35" s="25" t="n">
        <f aca="false">(IF(C17&gt;9,D17/C17,0)+IF(C17&gt;8,E17/C17,0)+IF(C17&gt;7,F17/C17,0)+IF(C17&gt;6,G17/C17,0)+IF(C17&gt;5,H17/C17,0)+IF(C17&gt;4,I17/C17,0)+IF(C17&gt;3,J17/C17,0)+IF(C17&gt;2,K17/C17,0)+IF(C17&gt;1,L17/C17,0)+IF(C17&gt;0,M17/C17,0))/100</f>
        <v>5.05333333333333</v>
      </c>
    </row>
    <row r="36" customFormat="false" ht="15" hidden="false" customHeight="true" outlineLevel="0" collapsed="false">
      <c r="B36" s="99" t="s">
        <v>762</v>
      </c>
      <c r="D36" s="25" t="n">
        <f aca="false">(IF(C18&gt;0,D18/C18,0))/100</f>
        <v>0.76</v>
      </c>
      <c r="E36" s="25" t="n">
        <f aca="false">(IF(C18&gt;1,D18/C18,0)+IF(C18&gt;0,E18/C18,0))/100</f>
        <v>1.71</v>
      </c>
      <c r="F36" s="25" t="n">
        <f aca="false">(IF(C18&gt;2,D18/C18,0)+IF(C18&gt;1,E18/C18,0)+IF(C18&gt;0,F18/C18,0))/100</f>
        <v>2.85</v>
      </c>
      <c r="G36" s="25" t="n">
        <f aca="false">(IF(C18&gt;3,D18/C18,0)+IF(C18&gt;2,E18/C18,0)+IF(C18&gt;1,F18/C18,0)+IF(C18&gt;0,G18/C18,0))/100</f>
        <v>3.8</v>
      </c>
      <c r="H36" s="25" t="n">
        <f aca="false">(IF(C18&gt;4,D18/C18,0)+IF(C18&gt;3,E18/C18,0)+IF(C18&gt;2,F18/C18,0)+IF(C18&gt;1,G18/C18,0)+IF(C18&gt;0,H18/C18,0))/100</f>
        <v>4.75</v>
      </c>
      <c r="I36" s="25" t="n">
        <f aca="false">(IF(C18&gt;5,D18/C18,0)+IF(C18&gt;4,E18/C18,0)+IF(C18&gt;3,F18/C18,0)+IF(C18&gt;2,G18/C18,0)+IF(C18&gt;1,H18/C18,0)+IF(C18&gt;0,I18/C18,0))/100</f>
        <v>4.75</v>
      </c>
      <c r="J36" s="25" t="n">
        <f aca="false">(IF(C18&gt;6,D18/C18,0)+IF(C18&gt;5,E18/C18,0)+IF(C18&gt;4,F18/C18,0)+IF(C18&gt;3,G18/C18,0)+IF(C18&gt;2,H18/C18,0)+IF(C18&gt;1,I18/C18,0)+IF(C18&gt;0,J18/C18,0))/100</f>
        <v>4.56</v>
      </c>
      <c r="K36" s="25" t="n">
        <f aca="false">(IF(C18&gt;7,D18/C18,0)+IF(C18&gt;6,E18/C18,0)+IF(C18&gt;5,F18/C18,0)+IF(C18&gt;4,G18/C18,0)+IF(C18&gt;3,H18/C18,0)+IF(C18&gt;2,I18/C18,0)+IF(C18&gt;1,J18/C18,0)+IF(C18&gt;0,K18/C18,0))/100</f>
        <v>4.18</v>
      </c>
      <c r="L36" s="25" t="n">
        <f aca="false">(IF(C18&gt;8,D18/C18,0)+IF(C18&gt;7,E18/C18,0)+IF(C18&gt;6,F18/C18,0)+IF(C18&gt;5,G18/C18,0)+IF(C18&gt;4,H18/C18,0)+IF(C18&gt;3,I18/C18,0)+IF(C18&gt;2,J18/C18,0)+IF(C18&gt;1,K18/C18,0)+IF(C18&gt;0,L18/C18,0))/100</f>
        <v>3.99</v>
      </c>
      <c r="M36" s="25" t="n">
        <f aca="false">(IF(C18&gt;9,D18/C18,0)+IF(C18&gt;8,E18/C18,0)+IF(C18&gt;7,F18/C18,0)+IF(C18&gt;6,G18/C18,0)+IF(C18&gt;5,H18/C18,0)+IF(C18&gt;4,I18/C18,0)+IF(C18&gt;3,J18/C18,0)+IF(C18&gt;2,K18/C18,0)+IF(C18&gt;1,L18/C18,0)+IF(C18&gt;0,M18/C18,0))/100</f>
        <v>3.8</v>
      </c>
    </row>
    <row r="37" customFormat="false" ht="15" hidden="false" customHeight="true" outlineLevel="0" collapsed="false">
      <c r="B37" s="99" t="s">
        <v>763</v>
      </c>
      <c r="D37" s="25" t="n">
        <f aca="false">(IF(C19&gt;0,D19/C19,0))/100</f>
        <v>0.19</v>
      </c>
      <c r="E37" s="25" t="n">
        <f aca="false">(IF(C19&gt;1,D19/C19,0)+IF(C19&gt;0,E19/C19,0))/100</f>
        <v>0.57</v>
      </c>
      <c r="F37" s="25" t="n">
        <f aca="false">(IF(C19&gt;2,D19/C19,0)+IF(C19&gt;1,E19/C19,0)+IF(C19&gt;0,F19/C19,0))/100</f>
        <v>1.14</v>
      </c>
      <c r="G37" s="25" t="n">
        <f aca="false">(IF(C19&gt;3,D19/C19,0)+IF(C19&gt;2,E19/C19,0)+IF(C19&gt;1,F19/C19,0)+IF(C19&gt;0,G19/C19,0))/100</f>
        <v>1.71</v>
      </c>
      <c r="H37" s="25" t="n">
        <f aca="false">(IF(C19&gt;4,D19/C19,0)+IF(C19&gt;3,E19/C19,0)+IF(C19&gt;2,F19/C19,0)+IF(C19&gt;1,G19/C19,0)+IF(C19&gt;0,H19/C19,0))/100</f>
        <v>2.28</v>
      </c>
      <c r="I37" s="25" t="n">
        <f aca="false">(IF(C19&gt;5,D19/C19,0)+IF(C19&gt;4,E19/C19,0)+IF(C19&gt;3,F19/C19,0)+IF(C19&gt;2,G19/C19,0)+IF(C19&gt;1,H19/C19,0)+IF(C19&gt;0,I19/C19,0))/100</f>
        <v>2.47</v>
      </c>
      <c r="J37" s="25" t="n">
        <f aca="false">(IF(C19&gt;6,D19/C19,0)+IF(C19&gt;5,E19/C19,0)+IF(C19&gt;4,F19/C19,0)+IF(C19&gt;3,G19/C19,0)+IF(C19&gt;2,H19/C19,0)+IF(C19&gt;1,I19/C19,0)+IF(C19&gt;0,J19/C19,0))/100</f>
        <v>2.47</v>
      </c>
      <c r="K37" s="25" t="n">
        <f aca="false">(IF(C19&gt;7,D19/C19,0)+IF(C19&gt;6,E19/C19,0)+IF(C19&gt;5,F19/C19,0)+IF(C19&gt;4,G19/C19,0)+IF(C19&gt;3,H19/C19,0)+IF(C19&gt;2,I19/C19,0)+IF(C19&gt;1,J19/C19,0)+IF(C19&gt;0,K19/C19,0))/100</f>
        <v>2.28</v>
      </c>
      <c r="L37" s="25" t="n">
        <f aca="false">(IF(C19&gt;8,D19/C19,0)+IF(C19&gt;7,E19/C19,0)+IF(C19&gt;6,F19/C19,0)+IF(C19&gt;5,G19/C19,0)+IF(C19&gt;4,H19/C19,0)+IF(C19&gt;3,I19/C19,0)+IF(C19&gt;2,J19/C19,0)+IF(C19&gt;1,K19/C19,0)+IF(C19&gt;0,L19/C19,0))/100</f>
        <v>2.09</v>
      </c>
      <c r="M37" s="25" t="n">
        <f aca="false">(IF(C19&gt;9,D19/C19,0)+IF(C19&gt;8,E19/C19,0)+IF(C19&gt;7,F19/C19,0)+IF(C19&gt;6,G19/C19,0)+IF(C19&gt;5,H19/C19,0)+IF(C19&gt;4,I19/C19,0)+IF(C19&gt;3,J19/C19,0)+IF(C19&gt;2,K19/C19,0)+IF(C19&gt;1,L19/C19,0)+IF(C19&gt;0,M19/C19,0))/100</f>
        <v>1.9</v>
      </c>
    </row>
    <row r="38" customFormat="false" ht="23.25" hidden="false" customHeight="true" outlineLevel="0" collapsed="false">
      <c r="B38" s="99" t="s">
        <v>764</v>
      </c>
      <c r="D38" s="25" t="n">
        <f aca="false">(IF(C20&gt;0,D20/C20,0))/100</f>
        <v>0</v>
      </c>
      <c r="E38" s="25" t="n">
        <f aca="false">(IF(C20&gt;1,D20/C20,0)+IF(C20&gt;0,E20/C20,0))/100</f>
        <v>0</v>
      </c>
      <c r="F38" s="25" t="n">
        <f aca="false">(IF(C20&gt;2,D20/C20,0)+IF(C20&gt;1,E20/C20,0)+IF(C20&gt;0,F20/C20,0))/100</f>
        <v>0</v>
      </c>
      <c r="G38" s="25" t="n">
        <f aca="false">(IF(C20&gt;3,D20/C20,0)+IF(C20&gt;2,E20/C20,0)+IF(C20&gt;1,F20/C20,0)+IF(C20&gt;0,G20/C20,0))/100</f>
        <v>0</v>
      </c>
      <c r="H38" s="25" t="n">
        <f aca="false">(IF(C20&gt;4,D20/C20,0)+IF(C20&gt;3,E20/C20,0)+IF(C20&gt;2,F20/C20,0)+IF(C20&gt;1,G20/C20,0)+IF(C20&gt;0,H20/C20,0))/100</f>
        <v>0</v>
      </c>
      <c r="I38" s="25" t="n">
        <f aca="false">(IF(C20&gt;5,D20/C20,0)+IF(C20&gt;4,E20/C20,0)+IF(C20&gt;3,F20/C20,0)+IF(C20&gt;2,G20/C20,0)+IF(C20&gt;1,H20/C20,0)+IF(C20&gt;0,I20/C20,0))/100</f>
        <v>0</v>
      </c>
      <c r="J38" s="25" t="n">
        <f aca="false">(IF(C20&gt;6,D20/C20,0)+IF(C20&gt;5,E20/C20,0)+IF(C20&gt;4,F20/C20,0)+IF(C20&gt;3,G20/C20,0)+IF(C20&gt;2,H20/C20,0)+IF(C20&gt;1,I20/C20,0)+IF(C20&gt;0,J20/C20,0))/100</f>
        <v>0</v>
      </c>
      <c r="K38" s="25" t="n">
        <f aca="false">(IF(C20&gt;7,D20/C20,0)+IF(C20&gt;6,E20/C20,0)+IF(C20&gt;5,F20/C20,0)+IF(C20&gt;4,G20/C20,0)+IF(C20&gt;3,H20/C20,0)+IF(C20&gt;2,I20/C20,0)+IF(C20&gt;1,J20/C20,0)+IF(C20&gt;0,K20/C20,0))/100</f>
        <v>0</v>
      </c>
      <c r="L38" s="25" t="n">
        <f aca="false">(IF(C20&gt;8,D20/C20,0)+IF(C20&gt;7,E20/C20,0)+IF(C20&gt;6,F20/C20,0)+IF(C20&gt;5,G20/C20,0)+IF(C20&gt;4,H20/C20,0)+IF(C20&gt;3,I20/C20,0)+IF(C20&gt;2,J20/C20,0)+IF(C20&gt;1,K20/C20,0)+IF(C20&gt;0,L20/C20,0))/100</f>
        <v>0</v>
      </c>
      <c r="M38" s="25" t="n">
        <f aca="false">(IF(C20&gt;9,D20/C20,0)+IF(C20&gt;8,E20/C20,0)+IF(C20&gt;7,F20/C20,0)+IF(C20&gt;6,G20/C20,0)+IF(C20&gt;5,H20/C20,0)+IF(C20&gt;4,I20/C20,0)+IF(C20&gt;3,J20/C20,0)+IF(C20&gt;2,K20/C20,0)+IF(C20&gt;1,L20/C20,0)+IF(C20&gt;0,M20/C20,0))/100</f>
        <v>0</v>
      </c>
    </row>
    <row r="39" customFormat="false" ht="15" hidden="false" customHeight="true" outlineLevel="0" collapsed="false">
      <c r="B39" s="53" t="s">
        <v>765</v>
      </c>
      <c r="D39" s="55" t="n">
        <f aca="false">SUM(D24:D38)</f>
        <v>5.39702380952381</v>
      </c>
      <c r="E39" s="55" t="n">
        <f aca="false">SUM(E24:E38)</f>
        <v>14.1144047619048</v>
      </c>
      <c r="F39" s="55" t="n">
        <f aca="false">SUM(F24:F38)</f>
        <v>26.7332142857143</v>
      </c>
      <c r="G39" s="55" t="n">
        <f aca="false">SUM(G24:G38)</f>
        <v>38.6675</v>
      </c>
      <c r="H39" s="55" t="n">
        <f aca="false">SUM(H24:H38)</f>
        <v>46.3652380952381</v>
      </c>
      <c r="I39" s="55" t="n">
        <f aca="false">SUM(I24:I38)</f>
        <v>49.6104761904762</v>
      </c>
      <c r="J39" s="55" t="n">
        <f aca="false">SUM(J24:J38)</f>
        <v>48.7238095238095</v>
      </c>
      <c r="K39" s="55" t="n">
        <f aca="false">SUM(K24:K38)</f>
        <v>47.2630952380952</v>
      </c>
      <c r="L39" s="55" t="n">
        <f aca="false">SUM(L24:L38)</f>
        <v>46.0810714285714</v>
      </c>
      <c r="M39" s="55" t="n">
        <f aca="false">SUM(M24:M38)</f>
        <v>44.1044047619048</v>
      </c>
    </row>
  </sheetData>
  <mergeCells count="3">
    <mergeCell ref="B2:N2"/>
    <mergeCell ref="B5:N5"/>
    <mergeCell ref="B23:N23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F27" activeCellId="0" sqref="F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44"/>
    <col collapsed="false" customWidth="true" hidden="false" outlineLevel="0" max="3" min="3" style="1" width="22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766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730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767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true" outlineLevel="0" collapsed="false">
      <c r="B6" s="96" t="s">
        <v>768</v>
      </c>
      <c r="D6" s="113" t="n">
        <v>142.5</v>
      </c>
      <c r="E6" s="113" t="n">
        <v>213.75</v>
      </c>
      <c r="F6" s="113" t="n">
        <v>332.5</v>
      </c>
      <c r="G6" s="113" t="n">
        <v>427.5</v>
      </c>
      <c r="H6" s="113" t="n">
        <v>522.5</v>
      </c>
      <c r="I6" s="113" t="n">
        <v>593.75</v>
      </c>
      <c r="J6" s="113" t="n">
        <v>665</v>
      </c>
      <c r="K6" s="113" t="n">
        <v>712.5</v>
      </c>
      <c r="L6" s="113" t="n">
        <v>760</v>
      </c>
      <c r="M6" s="113" t="n">
        <v>807.5</v>
      </c>
    </row>
    <row r="7" customFormat="false" ht="15" hidden="false" customHeight="true" outlineLevel="0" collapsed="false">
      <c r="B7" s="96" t="s">
        <v>769</v>
      </c>
      <c r="D7" s="113" t="n">
        <v>133</v>
      </c>
      <c r="E7" s="113" t="n">
        <v>266</v>
      </c>
      <c r="F7" s="113" t="n">
        <v>465.5</v>
      </c>
      <c r="G7" s="113" t="n">
        <v>665</v>
      </c>
      <c r="H7" s="113" t="n">
        <v>931</v>
      </c>
      <c r="I7" s="113" t="n">
        <v>1197</v>
      </c>
      <c r="J7" s="113" t="n">
        <v>1463</v>
      </c>
      <c r="K7" s="113" t="n">
        <v>1662.5</v>
      </c>
      <c r="L7" s="113" t="n">
        <v>1862</v>
      </c>
      <c r="M7" s="113" t="n">
        <v>2061.5</v>
      </c>
    </row>
    <row r="8" customFormat="false" ht="15" hidden="false" customHeight="true" outlineLevel="0" collapsed="false">
      <c r="B8" s="96" t="s">
        <v>770</v>
      </c>
      <c r="D8" s="113" t="n">
        <v>342</v>
      </c>
      <c r="E8" s="113" t="n">
        <v>598.5</v>
      </c>
      <c r="F8" s="113" t="n">
        <v>855</v>
      </c>
      <c r="G8" s="113" t="n">
        <v>1111.5</v>
      </c>
      <c r="H8" s="113" t="n">
        <v>1282.5</v>
      </c>
      <c r="I8" s="113" t="n">
        <v>1453.5</v>
      </c>
      <c r="J8" s="113" t="n">
        <v>1624.5</v>
      </c>
      <c r="K8" s="113" t="n">
        <v>1710</v>
      </c>
      <c r="L8" s="113" t="n">
        <v>1795.5</v>
      </c>
      <c r="M8" s="113" t="n">
        <v>1881</v>
      </c>
    </row>
    <row r="9" customFormat="false" ht="15" hidden="false" customHeight="true" outlineLevel="0" collapsed="false">
      <c r="B9" s="96" t="s">
        <v>771</v>
      </c>
      <c r="D9" s="113" t="n">
        <v>76</v>
      </c>
      <c r="E9" s="113" t="n">
        <v>152</v>
      </c>
      <c r="F9" s="113" t="n">
        <v>266</v>
      </c>
      <c r="G9" s="113" t="n">
        <v>380</v>
      </c>
      <c r="H9" s="113" t="n">
        <v>532</v>
      </c>
      <c r="I9" s="113" t="n">
        <v>684</v>
      </c>
      <c r="J9" s="113" t="n">
        <v>798</v>
      </c>
      <c r="K9" s="113" t="n">
        <v>912</v>
      </c>
      <c r="L9" s="113" t="n">
        <v>1026</v>
      </c>
      <c r="M9" s="113" t="n">
        <v>1140</v>
      </c>
    </row>
    <row r="10" customFormat="false" ht="15" hidden="false" customHeight="true" outlineLevel="0" collapsed="false">
      <c r="B10" s="96" t="s">
        <v>772</v>
      </c>
      <c r="D10" s="113" t="n">
        <v>142.5</v>
      </c>
      <c r="E10" s="113" t="n">
        <v>285</v>
      </c>
      <c r="F10" s="113" t="n">
        <v>475</v>
      </c>
      <c r="G10" s="113" t="n">
        <v>665</v>
      </c>
      <c r="H10" s="113" t="n">
        <v>855</v>
      </c>
      <c r="I10" s="113" t="n">
        <v>950</v>
      </c>
      <c r="J10" s="113" t="n">
        <v>1045</v>
      </c>
      <c r="K10" s="113" t="n">
        <v>1140</v>
      </c>
      <c r="L10" s="113" t="n">
        <v>1235</v>
      </c>
      <c r="M10" s="113" t="n">
        <v>1330</v>
      </c>
    </row>
    <row r="11" customFormat="false" ht="15" hidden="false" customHeight="true" outlineLevel="0" collapsed="false">
      <c r="B11" s="96" t="s">
        <v>773</v>
      </c>
      <c r="D11" s="113" t="n">
        <v>95</v>
      </c>
      <c r="E11" s="113" t="n">
        <v>285</v>
      </c>
      <c r="F11" s="113" t="n">
        <v>570</v>
      </c>
      <c r="G11" s="113" t="n">
        <v>855</v>
      </c>
      <c r="H11" s="113" t="n">
        <v>1140</v>
      </c>
      <c r="I11" s="113" t="n">
        <v>1235</v>
      </c>
      <c r="J11" s="113" t="n">
        <v>1330</v>
      </c>
      <c r="K11" s="113" t="n">
        <v>1425</v>
      </c>
      <c r="L11" s="113" t="n">
        <v>1425</v>
      </c>
      <c r="M11" s="113" t="n">
        <v>1425</v>
      </c>
    </row>
    <row r="12" customFormat="false" ht="15" hidden="false" customHeight="true" outlineLevel="0" collapsed="false">
      <c r="B12" s="96" t="s">
        <v>774</v>
      </c>
      <c r="D12" s="113" t="n">
        <f aca="false">Assumptions!$C$18*100*(1+Assumptions!$C$8)^0</f>
        <v>200</v>
      </c>
      <c r="E12" s="113" t="n">
        <f aca="false">Assumptions!$C$18*100*(1+Assumptions!$C$8)^1</f>
        <v>208</v>
      </c>
      <c r="F12" s="113" t="n">
        <f aca="false">Assumptions!$C$18*100*(1+Assumptions!$C$8)^2</f>
        <v>216.32</v>
      </c>
      <c r="G12" s="113" t="n">
        <f aca="false">Assumptions!$C$18*100*(1+Assumptions!$C$8)^3</f>
        <v>224.9728</v>
      </c>
      <c r="H12" s="113" t="n">
        <f aca="false">Assumptions!$C$18*100*(1+Assumptions!$C$8)^4</f>
        <v>233.971712</v>
      </c>
      <c r="I12" s="113" t="n">
        <f aca="false">Assumptions!$C$18*100*(1+Assumptions!$C$8)^5</f>
        <v>243.33058048</v>
      </c>
      <c r="J12" s="113" t="n">
        <f aca="false">Assumptions!$C$18*100*(1+Assumptions!$C$8)^6</f>
        <v>253.0638036992</v>
      </c>
      <c r="K12" s="113" t="n">
        <f aca="false">Assumptions!$C$18*100*(1+Assumptions!$C$8)^7</f>
        <v>263.186355847168</v>
      </c>
      <c r="L12" s="113" t="n">
        <f aca="false">Assumptions!$C$18*100*(1+Assumptions!$C$8)^8</f>
        <v>273.713810081055</v>
      </c>
      <c r="M12" s="113" t="n">
        <f aca="false">Assumptions!$C$18*100*(1+Assumptions!$C$8)^9</f>
        <v>284.662362484297</v>
      </c>
    </row>
    <row r="13" customFormat="false" ht="15" hidden="false" customHeight="true" outlineLevel="0" collapsed="false">
      <c r="B13" s="96" t="s">
        <v>775</v>
      </c>
      <c r="D13" s="113" t="n">
        <f aca="false">Assumptions!$C$19*100*(1+Assumptions!$C$8)^0</f>
        <v>1425</v>
      </c>
      <c r="E13" s="113" t="n">
        <f aca="false">Assumptions!$C$19*100*(1+Assumptions!$C$8)^1</f>
        <v>1482</v>
      </c>
      <c r="F13" s="113" t="n">
        <f aca="false">Assumptions!$C$19*100*(1+Assumptions!$C$8)^2</f>
        <v>1541.28</v>
      </c>
      <c r="G13" s="113" t="n">
        <f aca="false">Assumptions!$C$19*100*(1+Assumptions!$C$8)^3</f>
        <v>1602.9312</v>
      </c>
      <c r="H13" s="113" t="n">
        <f aca="false">Assumptions!$C$19*100*(1+Assumptions!$C$8)^4</f>
        <v>1667.048448</v>
      </c>
      <c r="I13" s="113" t="n">
        <f aca="false">Assumptions!$C$19*100*(1+Assumptions!$C$8)^5</f>
        <v>1733.73038592</v>
      </c>
      <c r="J13" s="113" t="n">
        <f aca="false">Assumptions!$C$19*100*(1+Assumptions!$C$8)^6</f>
        <v>1803.0796013568</v>
      </c>
      <c r="K13" s="113" t="n">
        <f aca="false">Assumptions!$C$19*100*(1+Assumptions!$C$8)^7</f>
        <v>1875.20278541107</v>
      </c>
      <c r="L13" s="113" t="n">
        <f aca="false">Assumptions!$C$19*100*(1+Assumptions!$C$8)^8</f>
        <v>1950.21089682752</v>
      </c>
      <c r="M13" s="113" t="n">
        <f aca="false">Assumptions!$C$19*100*(1+Assumptions!$C$8)^9</f>
        <v>2028.21933270062</v>
      </c>
    </row>
    <row r="14" customFormat="false" ht="15" hidden="false" customHeight="true" outlineLevel="0" collapsed="false">
      <c r="B14" s="96" t="s">
        <v>776</v>
      </c>
      <c r="D14" s="113" t="n">
        <f aca="false">Assumptions!$C$20*100*(1+Assumptions!$C$8)^0</f>
        <v>855</v>
      </c>
      <c r="E14" s="113" t="n">
        <f aca="false">Assumptions!$C$20*100*(1+Assumptions!$C$8)^1</f>
        <v>889.2</v>
      </c>
      <c r="F14" s="113" t="n">
        <f aca="false">Assumptions!$C$20*100*(1+Assumptions!$C$8)^2</f>
        <v>924.768</v>
      </c>
      <c r="G14" s="113" t="n">
        <f aca="false">Assumptions!$C$20*100*(1+Assumptions!$C$8)^3</f>
        <v>961.75872</v>
      </c>
      <c r="H14" s="113" t="n">
        <f aca="false">Assumptions!$C$20*100*(1+Assumptions!$C$8)^4</f>
        <v>1000.2290688</v>
      </c>
      <c r="I14" s="113" t="n">
        <f aca="false">Assumptions!$C$20*100*(1+Assumptions!$C$8)^5</f>
        <v>1040.238231552</v>
      </c>
      <c r="J14" s="113" t="n">
        <f aca="false">Assumptions!$C$20*100*(1+Assumptions!$C$8)^6</f>
        <v>1081.84776081408</v>
      </c>
      <c r="K14" s="113" t="n">
        <f aca="false">Assumptions!$C$20*100*(1+Assumptions!$C$8)^7</f>
        <v>1125.12167124664</v>
      </c>
      <c r="L14" s="113" t="n">
        <f aca="false">Assumptions!$C$20*100*(1+Assumptions!$C$8)^8</f>
        <v>1170.12653809651</v>
      </c>
      <c r="M14" s="113" t="n">
        <f aca="false">Assumptions!$C$20*100*(1+Assumptions!$C$8)^9</f>
        <v>1216.93159962037</v>
      </c>
    </row>
    <row r="15" customFormat="false" ht="15" hidden="false" customHeight="true" outlineLevel="0" collapsed="false">
      <c r="B15" s="96" t="s">
        <v>777</v>
      </c>
      <c r="D15" s="113" t="n">
        <v>47.5</v>
      </c>
      <c r="E15" s="113" t="n">
        <v>95</v>
      </c>
      <c r="F15" s="113" t="n">
        <v>190</v>
      </c>
      <c r="G15" s="113" t="n">
        <v>285</v>
      </c>
      <c r="H15" s="113" t="n">
        <v>427.5</v>
      </c>
      <c r="I15" s="113" t="n">
        <v>570</v>
      </c>
      <c r="J15" s="113" t="n">
        <v>712.5</v>
      </c>
      <c r="K15" s="113" t="n">
        <v>807.5</v>
      </c>
      <c r="L15" s="113" t="n">
        <v>902.5</v>
      </c>
      <c r="M15" s="113" t="n">
        <v>997.5</v>
      </c>
    </row>
    <row r="16" customFormat="false" ht="15" hidden="false" customHeight="true" outlineLevel="0" collapsed="false">
      <c r="B16" s="96" t="s">
        <v>778</v>
      </c>
      <c r="D16" s="113" t="n">
        <v>57</v>
      </c>
      <c r="E16" s="113" t="n">
        <v>85.5</v>
      </c>
      <c r="F16" s="113" t="n">
        <v>142.5</v>
      </c>
      <c r="G16" s="113" t="n">
        <v>199.5</v>
      </c>
      <c r="H16" s="113" t="n">
        <v>256.5</v>
      </c>
      <c r="I16" s="113" t="n">
        <v>313.5</v>
      </c>
      <c r="J16" s="113" t="n">
        <v>342</v>
      </c>
      <c r="K16" s="113" t="n">
        <v>370.5</v>
      </c>
      <c r="L16" s="113" t="n">
        <v>399</v>
      </c>
      <c r="M16" s="113" t="n">
        <v>427.5</v>
      </c>
    </row>
    <row r="17" customFormat="false" ht="15" hidden="false" customHeight="true" outlineLevel="0" collapsed="false">
      <c r="B17" s="96" t="s">
        <v>779</v>
      </c>
      <c r="D17" s="113" t="n">
        <v>76</v>
      </c>
      <c r="E17" s="113" t="n">
        <v>152</v>
      </c>
      <c r="F17" s="113" t="n">
        <v>266</v>
      </c>
      <c r="G17" s="113" t="n">
        <v>418</v>
      </c>
      <c r="H17" s="113" t="n">
        <v>570</v>
      </c>
      <c r="I17" s="113" t="n">
        <v>760</v>
      </c>
      <c r="J17" s="113" t="n">
        <v>950</v>
      </c>
      <c r="K17" s="113" t="n">
        <v>1102</v>
      </c>
      <c r="L17" s="113" t="n">
        <v>1254</v>
      </c>
      <c r="M17" s="113" t="n">
        <v>1368</v>
      </c>
    </row>
    <row r="18" customFormat="false" ht="15" hidden="false" customHeight="true" outlineLevel="0" collapsed="false">
      <c r="B18" s="96" t="s">
        <v>780</v>
      </c>
      <c r="D18" s="113" t="n">
        <v>57</v>
      </c>
      <c r="E18" s="113" t="n">
        <v>114</v>
      </c>
      <c r="F18" s="113" t="n">
        <v>199.5</v>
      </c>
      <c r="G18" s="113" t="n">
        <v>256.5</v>
      </c>
      <c r="H18" s="113" t="n">
        <v>285</v>
      </c>
      <c r="I18" s="113" t="n">
        <v>285</v>
      </c>
      <c r="J18" s="113" t="n">
        <v>285</v>
      </c>
      <c r="K18" s="113" t="n">
        <v>285</v>
      </c>
      <c r="L18" s="113" t="n">
        <v>285</v>
      </c>
      <c r="M18" s="113" t="n">
        <v>285</v>
      </c>
    </row>
    <row r="19" customFormat="false" ht="15" hidden="false" customHeight="true" outlineLevel="0" collapsed="false">
      <c r="B19" s="96" t="s">
        <v>781</v>
      </c>
      <c r="D19" s="113" t="n">
        <v>0</v>
      </c>
      <c r="E19" s="113" t="n">
        <v>0</v>
      </c>
      <c r="F19" s="113" t="n">
        <v>142.5</v>
      </c>
      <c r="G19" s="113" t="n">
        <v>332.5</v>
      </c>
      <c r="H19" s="113" t="n">
        <v>570</v>
      </c>
      <c r="I19" s="113" t="n">
        <v>712.5</v>
      </c>
      <c r="J19" s="113" t="n">
        <v>807.5</v>
      </c>
      <c r="K19" s="113" t="n">
        <v>902.5</v>
      </c>
      <c r="L19" s="113" t="n">
        <v>997.5</v>
      </c>
      <c r="M19" s="113" t="n">
        <v>1092.5</v>
      </c>
    </row>
    <row r="20" customFormat="false" ht="15" hidden="false" customHeight="true" outlineLevel="0" collapsed="false">
      <c r="B20" s="96" t="s">
        <v>782</v>
      </c>
      <c r="D20" s="113" t="n">
        <v>57</v>
      </c>
      <c r="E20" s="113" t="n">
        <v>95</v>
      </c>
      <c r="F20" s="113" t="n">
        <v>152</v>
      </c>
      <c r="G20" s="113" t="n">
        <v>228</v>
      </c>
      <c r="H20" s="113" t="n">
        <v>304</v>
      </c>
      <c r="I20" s="113" t="n">
        <v>380</v>
      </c>
      <c r="J20" s="113" t="n">
        <v>456</v>
      </c>
      <c r="K20" s="113" t="n">
        <v>532</v>
      </c>
      <c r="L20" s="113" t="n">
        <v>608</v>
      </c>
      <c r="M20" s="113" t="n">
        <v>684</v>
      </c>
    </row>
    <row r="21" customFormat="false" ht="15" hidden="false" customHeight="true" outlineLevel="0" collapsed="false">
      <c r="B21" s="99" t="s">
        <v>783</v>
      </c>
      <c r="D21" s="25" t="n">
        <f aca="false">Backlog!D64</f>
        <v>0.8416089</v>
      </c>
      <c r="E21" s="25" t="n">
        <f aca="false">Backlog!E64</f>
        <v>2.233079442</v>
      </c>
      <c r="F21" s="25" t="n">
        <f aca="false">Backlog!F64</f>
        <v>4.21674520014</v>
      </c>
      <c r="G21" s="25" t="n">
        <f aca="false">Backlog!G64</f>
        <v>7.5113819952138</v>
      </c>
      <c r="H21" s="25" t="n">
        <f aca="false">Backlog!H64</f>
        <v>11.6588261752532</v>
      </c>
      <c r="I21" s="25" t="n">
        <f aca="false">Backlog!I64</f>
        <v>15.7957732191247</v>
      </c>
      <c r="J21" s="25" t="n">
        <f aca="false">Backlog!J64</f>
        <v>20.3917376994023</v>
      </c>
      <c r="K21" s="25" t="n">
        <f aca="false">Backlog!K64</f>
        <v>24.7835128145211</v>
      </c>
      <c r="L21" s="25" t="n">
        <f aca="false">Backlog!L64</f>
        <v>28.9492333152803</v>
      </c>
      <c r="M21" s="25" t="n">
        <f aca="false">Backlog!M64</f>
        <v>33.0258912314062</v>
      </c>
    </row>
    <row r="22" customFormat="false" ht="15" hidden="false" customHeight="true" outlineLevel="0" collapsed="false">
      <c r="B22" s="53" t="s">
        <v>784</v>
      </c>
      <c r="D22" s="55" t="n">
        <f aca="false">SUM(D6:D20)/100+D23/100+D21</f>
        <v>41.6966089</v>
      </c>
      <c r="E22" s="55" t="n">
        <f aca="false">SUM(E6:E20)/100+E23/100+E21</f>
        <v>56.192579442</v>
      </c>
      <c r="F22" s="55" t="n">
        <f aca="false">SUM(F6:F20)/100+F23/100+F21</f>
        <v>75.40542520014</v>
      </c>
      <c r="G22" s="55" t="n">
        <f aca="false">SUM(G6:G20)/100+G23/100+G21</f>
        <v>96.4930091952138</v>
      </c>
      <c r="H22" s="55" t="n">
        <f aca="false">SUM(H6:H20)/100+H23/100+H21</f>
        <v>119.331318463253</v>
      </c>
      <c r="I22" s="55" t="n">
        <f aca="false">SUM(I6:I20)/100+I23/100+I21</f>
        <v>138.261265198645</v>
      </c>
      <c r="J22" s="55" t="n">
        <f aca="false">SUM(J6:J20)/100+J23/100+J21</f>
        <v>156.556649358103</v>
      </c>
      <c r="K22" s="55" t="n">
        <f aca="false">SUM(K6:K20)/100+K23/100+K21</f>
        <v>173.03362093957</v>
      </c>
      <c r="L22" s="55" t="n">
        <f aca="false">SUM(L6:L20)/100+L23/100+L21</f>
        <v>188.384745765331</v>
      </c>
      <c r="M22" s="55" t="n">
        <f aca="false">SUM(M6:M20)/100+M23/100+M21</f>
        <v>203.319024179459</v>
      </c>
    </row>
    <row r="23" customFormat="false" ht="15" hidden="false" customHeight="true" outlineLevel="0" collapsed="false">
      <c r="B23" s="1" t="s">
        <v>785</v>
      </c>
      <c r="D23" s="1" t="n">
        <v>380</v>
      </c>
      <c r="E23" s="1" t="n">
        <v>475</v>
      </c>
      <c r="F23" s="1" t="n">
        <v>380</v>
      </c>
      <c r="G23" s="1" t="n">
        <v>285</v>
      </c>
      <c r="H23" s="1" t="n">
        <v>190</v>
      </c>
      <c r="I23" s="1" t="n">
        <v>95</v>
      </c>
      <c r="J23" s="1" t="n">
        <v>0</v>
      </c>
      <c r="K23" s="1" t="n">
        <v>0</v>
      </c>
      <c r="L23" s="1" t="n">
        <v>0</v>
      </c>
      <c r="M23" s="1" t="n">
        <v>0</v>
      </c>
    </row>
  </sheetData>
  <mergeCells count="2">
    <mergeCell ref="B2:N2"/>
    <mergeCell ref="B5:N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12" activeCellId="0" sqref="C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4" hidden="false" customHeight="true" outlineLevel="0" collapsed="false">
      <c r="B2" s="19" t="s">
        <v>786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customFormat="false" ht="15" hidden="false" customHeight="true" outlineLevel="0" collapsed="false">
      <c r="B4" s="20" t="s">
        <v>787</v>
      </c>
      <c r="C4" s="21" t="s">
        <v>30</v>
      </c>
      <c r="D4" s="21" t="s">
        <v>25</v>
      </c>
      <c r="E4" s="21" t="s">
        <v>44</v>
      </c>
      <c r="F4" s="21" t="s">
        <v>39</v>
      </c>
      <c r="G4" s="21" t="s">
        <v>58</v>
      </c>
      <c r="H4" s="21" t="s">
        <v>59</v>
      </c>
      <c r="I4" s="21" t="s">
        <v>60</v>
      </c>
      <c r="J4" s="21" t="s">
        <v>61</v>
      </c>
      <c r="K4" s="21" t="s">
        <v>62</v>
      </c>
      <c r="L4" s="21" t="s">
        <v>63</v>
      </c>
    </row>
    <row r="5" customFormat="false" ht="15" hidden="false" customHeight="true" outlineLevel="0" collapsed="false">
      <c r="B5" s="4" t="s">
        <v>64</v>
      </c>
      <c r="C5" s="23" t="n">
        <f aca="false">Revenue!D12</f>
        <v>52.5</v>
      </c>
      <c r="D5" s="23" t="n">
        <f aca="false">Revenue!E12</f>
        <v>203.4075</v>
      </c>
      <c r="E5" s="23" t="n">
        <f aca="false">Revenue!F12</f>
        <v>491.025407</v>
      </c>
      <c r="F5" s="23" t="n">
        <f aca="false">Revenue!G12</f>
        <v>855.20352269</v>
      </c>
      <c r="G5" s="23" t="n">
        <f aca="false">Revenue!H12</f>
        <v>1447.7017222023</v>
      </c>
      <c r="H5" s="23" t="n">
        <f aca="false">Revenue!I12</f>
        <v>2180.22740612554</v>
      </c>
      <c r="I5" s="23" t="n">
        <f aca="false">Revenue!J12</f>
        <v>2883.84621804161</v>
      </c>
      <c r="J5" s="23" t="n">
        <f aca="false">Revenue!K12</f>
        <v>3659.34396004101</v>
      </c>
      <c r="K5" s="23" t="n">
        <f aca="false">Revenue!L12</f>
        <v>4380.65785719232</v>
      </c>
      <c r="L5" s="23" t="n">
        <f aca="false">Revenue!M12</f>
        <v>5055.31996054249</v>
      </c>
    </row>
    <row r="6" customFormat="false" ht="15" hidden="false" customHeight="true" outlineLevel="0" collapsed="false">
      <c r="B6" s="96" t="s">
        <v>788</v>
      </c>
      <c r="C6" s="25" t="n">
        <f aca="false">Revenue!D29</f>
        <v>23.4583832335329</v>
      </c>
      <c r="D6" s="25" t="n">
        <f aca="false">Revenue!E29</f>
        <v>80.7686328909379</v>
      </c>
      <c r="E6" s="25" t="n">
        <f aca="false">Revenue!F29</f>
        <v>171.392932767674</v>
      </c>
      <c r="F6" s="25" t="n">
        <f aca="false">Revenue!G29</f>
        <v>308.626536572021</v>
      </c>
      <c r="G6" s="25" t="n">
        <f aca="false">Revenue!H29</f>
        <v>509.878911782725</v>
      </c>
      <c r="H6" s="25" t="n">
        <f aca="false">Revenue!I29</f>
        <v>744.910847912218</v>
      </c>
      <c r="I6" s="25" t="n">
        <f aca="false">Revenue!J29</f>
        <v>963.66890779447</v>
      </c>
      <c r="J6" s="25" t="n">
        <f aca="false">Revenue!K29</f>
        <v>1209.61899991479</v>
      </c>
      <c r="K6" s="25" t="n">
        <f aca="false">Revenue!L29</f>
        <v>1431.84374608583</v>
      </c>
      <c r="L6" s="25" t="n">
        <f aca="false">Revenue!M29</f>
        <v>1631.42972757962</v>
      </c>
    </row>
    <row r="7" customFormat="false" ht="15" hidden="false" customHeight="true" outlineLevel="0" collapsed="false">
      <c r="B7" s="96" t="s">
        <v>789</v>
      </c>
      <c r="C7" s="25" t="n">
        <f aca="false">Headcount!D68</f>
        <v>2.03</v>
      </c>
      <c r="D7" s="25" t="n">
        <f aca="false">Headcount!E68</f>
        <v>4.9088</v>
      </c>
      <c r="E7" s="25" t="n">
        <f aca="false">Headcount!F68</f>
        <v>8.155264</v>
      </c>
      <c r="F7" s="25" t="n">
        <f aca="false">Headcount!G68</f>
        <v>13.31838976</v>
      </c>
      <c r="G7" s="25" t="n">
        <f aca="false">Headcount!H68</f>
        <v>19.0569959424</v>
      </c>
      <c r="H7" s="25" t="n">
        <f aca="false">Headcount!I68</f>
        <v>26.547366330368</v>
      </c>
      <c r="I7" s="25" t="n">
        <f aca="false">Headcount!J68</f>
        <v>34.7456602479002</v>
      </c>
      <c r="J7" s="25" t="n">
        <f aca="false">Headcount!K68</f>
        <v>39.030536572135</v>
      </c>
      <c r="K7" s="25" t="n">
        <f aca="false">Headcount!L68</f>
        <v>43.2467819928066</v>
      </c>
      <c r="L7" s="25" t="n">
        <f aca="false">Headcount!M68</f>
        <v>46.5422962661826</v>
      </c>
    </row>
    <row r="8" customFormat="false" ht="15" hidden="false" customHeight="true" outlineLevel="0" collapsed="false">
      <c r="B8" s="4" t="s">
        <v>790</v>
      </c>
      <c r="C8" s="55" t="n">
        <f aca="false">C6+C7</f>
        <v>25.4883832335329</v>
      </c>
      <c r="D8" s="55" t="n">
        <f aca="false">D6+D7</f>
        <v>85.6774328909379</v>
      </c>
      <c r="E8" s="55" t="n">
        <f aca="false">E6+E7</f>
        <v>179.548196767674</v>
      </c>
      <c r="F8" s="55" t="n">
        <f aca="false">F6+F7</f>
        <v>321.944926332021</v>
      </c>
      <c r="G8" s="55" t="n">
        <f aca="false">G6+G7</f>
        <v>528.935907725125</v>
      </c>
      <c r="H8" s="55" t="n">
        <f aca="false">H6+H7</f>
        <v>771.458214242586</v>
      </c>
      <c r="I8" s="55" t="n">
        <f aca="false">I6+I7</f>
        <v>998.41456804237</v>
      </c>
      <c r="J8" s="55" t="n">
        <f aca="false">J6+J7</f>
        <v>1248.64953648692</v>
      </c>
      <c r="K8" s="55" t="n">
        <f aca="false">K6+K7</f>
        <v>1475.09052807864</v>
      </c>
      <c r="L8" s="55" t="n">
        <f aca="false">L6+L7</f>
        <v>1677.9720238458</v>
      </c>
    </row>
    <row r="9" customFormat="false" ht="15" hidden="false" customHeight="true" outlineLevel="0" collapsed="false">
      <c r="B9" s="53" t="s">
        <v>66</v>
      </c>
      <c r="C9" s="55" t="n">
        <f aca="false">C5-C8</f>
        <v>27.0116167664671</v>
      </c>
      <c r="D9" s="55" t="n">
        <f aca="false">D5-D8</f>
        <v>117.730067109062</v>
      </c>
      <c r="E9" s="55" t="n">
        <f aca="false">E5-E8</f>
        <v>311.477210232326</v>
      </c>
      <c r="F9" s="55" t="n">
        <f aca="false">F5-F8</f>
        <v>533.258596357979</v>
      </c>
      <c r="G9" s="55" t="n">
        <f aca="false">G5-G8</f>
        <v>918.765814477174</v>
      </c>
      <c r="H9" s="55" t="n">
        <f aca="false">H5-H8</f>
        <v>1408.76919188295</v>
      </c>
      <c r="I9" s="55" t="n">
        <f aca="false">I5-I8</f>
        <v>1885.43164999924</v>
      </c>
      <c r="J9" s="55" t="n">
        <f aca="false">J5-J8</f>
        <v>2410.69442355408</v>
      </c>
      <c r="K9" s="55" t="n">
        <f aca="false">K5-K8</f>
        <v>2905.56732911368</v>
      </c>
      <c r="L9" s="55" t="n">
        <f aca="false">L5-L8</f>
        <v>3377.34793669668</v>
      </c>
    </row>
    <row r="10" customFormat="false" ht="15" hidden="false" customHeight="true" outlineLevel="0" collapsed="false">
      <c r="B10" s="99" t="s">
        <v>791</v>
      </c>
      <c r="C10" s="24" t="n">
        <f aca="false">IFERROR(C9/C5,0)</f>
        <v>0.514506986027944</v>
      </c>
      <c r="D10" s="24" t="n">
        <f aca="false">IFERROR(D9/D5,0)</f>
        <v>0.578789214306563</v>
      </c>
      <c r="E10" s="24" t="n">
        <f aca="false">IFERROR(E9/E5,0)</f>
        <v>0.634340312725052</v>
      </c>
      <c r="F10" s="24" t="n">
        <f aca="false">IFERROR(F9/F5,0)</f>
        <v>0.623545836996368</v>
      </c>
      <c r="G10" s="24" t="n">
        <f aca="false">IFERROR(G9/G5,0)</f>
        <v>0.634637508809144</v>
      </c>
      <c r="H10" s="24" t="n">
        <f aca="false">IFERROR(H9/H5,0)</f>
        <v>0.646156996249517</v>
      </c>
      <c r="I10" s="24" t="n">
        <f aca="false">IFERROR(I9/I5,0)</f>
        <v>0.653790634952656</v>
      </c>
      <c r="J10" s="24" t="n">
        <f aca="false">IFERROR(J9/J5,0)</f>
        <v>0.658777761773198</v>
      </c>
      <c r="K10" s="24" t="n">
        <f aca="false">IFERROR(K9/K5,0)</f>
        <v>0.663271915733665</v>
      </c>
      <c r="L10" s="24" t="n">
        <f aca="false">IFERROR(L9/L5,0)</f>
        <v>0.668077977864384</v>
      </c>
    </row>
    <row r="12" customFormat="false" ht="15" hidden="false" customHeight="true" outlineLevel="0" collapsed="false">
      <c r="B12" s="4" t="s">
        <v>68</v>
      </c>
      <c r="C12" s="25" t="n">
        <f aca="false">'R&amp;D_NRE'!D12</f>
        <v>301.9362375</v>
      </c>
      <c r="D12" s="25" t="n">
        <f aca="false">'R&amp;D_NRE'!E12</f>
        <v>347.8087275</v>
      </c>
      <c r="E12" s="25" t="n">
        <f aca="false">'R&amp;D_NRE'!F12</f>
        <v>185.2173741</v>
      </c>
      <c r="F12" s="25" t="n">
        <f aca="false">'R&amp;D_NRE'!G12</f>
        <v>118.02113942</v>
      </c>
      <c r="G12" s="25" t="n">
        <f aca="false">'R&amp;D_NRE'!H12</f>
        <v>80.5862278152</v>
      </c>
      <c r="H12" s="25" t="n">
        <f aca="false">'R&amp;D_NRE'!I12</f>
        <v>66.911876246688</v>
      </c>
      <c r="I12" s="25" t="n">
        <f aca="false">'R&amp;D_NRE'!J12</f>
        <v>63.4041977134663</v>
      </c>
      <c r="J12" s="25" t="n">
        <f aca="false">'R&amp;D_NRE'!K12</f>
        <v>65.9176679630945</v>
      </c>
      <c r="K12" s="25" t="n">
        <f aca="false">'R&amp;D_NRE'!L12</f>
        <v>67.4978486448128</v>
      </c>
      <c r="L12" s="25" t="n">
        <f aca="false">'R&amp;D_NRE'!M12</f>
        <v>68.6407946206919</v>
      </c>
    </row>
    <row r="13" customFormat="false" ht="15" hidden="false" customHeight="true" outlineLevel="0" collapsed="false">
      <c r="B13" s="4" t="s">
        <v>792</v>
      </c>
      <c r="C13" s="25" t="n">
        <f aca="false">MAX(Headcount!D69,C5*Assumptions!$C$15)</f>
        <v>4.2</v>
      </c>
      <c r="D13" s="25" t="n">
        <f aca="false">MAX(Headcount!E69,D5*Assumptions!$C$15)</f>
        <v>16.2726</v>
      </c>
      <c r="E13" s="25" t="n">
        <f aca="false">MAX(Headcount!F69,E5*Assumptions!$C$15)</f>
        <v>39.28203256</v>
      </c>
      <c r="F13" s="25" t="n">
        <f aca="false">MAX(Headcount!G69,F5*Assumptions!$C$15)</f>
        <v>68.4162818152</v>
      </c>
      <c r="G13" s="25" t="n">
        <f aca="false">MAX(Headcount!H69,G5*Assumptions!$C$15)</f>
        <v>115.816137776184</v>
      </c>
      <c r="H13" s="25" t="n">
        <f aca="false">MAX(Headcount!I69,H5*Assumptions!$C$15)</f>
        <v>174.418192490043</v>
      </c>
      <c r="I13" s="25" t="n">
        <f aca="false">MAX(Headcount!J69,I5*Assumptions!$C$15)</f>
        <v>230.707697443329</v>
      </c>
      <c r="J13" s="25" t="n">
        <f aca="false">MAX(Headcount!K69,J5*Assumptions!$C$15)</f>
        <v>292.74751680328</v>
      </c>
      <c r="K13" s="25" t="n">
        <f aca="false">MAX(Headcount!L69,K5*Assumptions!$C$15)</f>
        <v>350.452628575385</v>
      </c>
      <c r="L13" s="25" t="n">
        <f aca="false">MAX(Headcount!M69,L5*Assumptions!$C$15)</f>
        <v>404.425596843399</v>
      </c>
    </row>
    <row r="14" customFormat="false" ht="15" hidden="false" customHeight="true" outlineLevel="0" collapsed="false">
      <c r="B14" s="4" t="s">
        <v>793</v>
      </c>
      <c r="C14" s="25" t="n">
        <f aca="false">MAX(Headcount!D70,C5*Assumptions!$C$16)</f>
        <v>3.675</v>
      </c>
      <c r="D14" s="25" t="n">
        <f aca="false">MAX(Headcount!E70,D5*Assumptions!$C$16)</f>
        <v>14.238525</v>
      </c>
      <c r="E14" s="25" t="n">
        <f aca="false">MAX(Headcount!F70,E5*Assumptions!$C$16)</f>
        <v>34.37177849</v>
      </c>
      <c r="F14" s="25" t="n">
        <f aca="false">MAX(Headcount!G70,F5*Assumptions!$C$16)</f>
        <v>59.8642465883</v>
      </c>
      <c r="G14" s="25" t="n">
        <f aca="false">MAX(Headcount!H70,G5*Assumptions!$C$16)</f>
        <v>101.339120554161</v>
      </c>
      <c r="H14" s="25" t="n">
        <f aca="false">MAX(Headcount!I70,H5*Assumptions!$C$16)</f>
        <v>152.615918428788</v>
      </c>
      <c r="I14" s="25" t="n">
        <f aca="false">MAX(Headcount!J70,I5*Assumptions!$C$16)</f>
        <v>201.869235262913</v>
      </c>
      <c r="J14" s="25" t="n">
        <f aca="false">MAX(Headcount!K70,J5*Assumptions!$C$16)</f>
        <v>256.15407720287</v>
      </c>
      <c r="K14" s="25" t="n">
        <f aca="false">MAX(Headcount!L70,K5*Assumptions!$C$16)</f>
        <v>306.646050003462</v>
      </c>
      <c r="L14" s="25" t="n">
        <f aca="false">MAX(Headcount!M70,L5*Assumptions!$C$16)</f>
        <v>353.872397237974</v>
      </c>
    </row>
    <row r="15" customFormat="false" ht="15" hidden="false" customHeight="true" outlineLevel="0" collapsed="false">
      <c r="B15" s="4" t="s">
        <v>794</v>
      </c>
      <c r="C15" s="25" t="n">
        <f aca="false">Opex!D22</f>
        <v>41.6966089</v>
      </c>
      <c r="D15" s="25" t="n">
        <f aca="false">Opex!E22</f>
        <v>56.192579442</v>
      </c>
      <c r="E15" s="25" t="n">
        <f aca="false">Opex!F22</f>
        <v>75.40542520014</v>
      </c>
      <c r="F15" s="25" t="n">
        <f aca="false">Opex!G22</f>
        <v>96.4930091952138</v>
      </c>
      <c r="G15" s="25" t="n">
        <f aca="false">Opex!H22</f>
        <v>119.331318463253</v>
      </c>
      <c r="H15" s="25" t="n">
        <f aca="false">Opex!I22</f>
        <v>138.261265198645</v>
      </c>
      <c r="I15" s="25" t="n">
        <f aca="false">Opex!J22</f>
        <v>156.556649358103</v>
      </c>
      <c r="J15" s="25" t="n">
        <f aca="false">Opex!K22</f>
        <v>173.03362093957</v>
      </c>
      <c r="K15" s="25" t="n">
        <f aca="false">Opex!L22</f>
        <v>188.384745765331</v>
      </c>
      <c r="L15" s="25" t="n">
        <f aca="false">Opex!M22</f>
        <v>203.319024179459</v>
      </c>
    </row>
    <row r="16" customFormat="false" ht="15" hidden="false" customHeight="true" outlineLevel="0" collapsed="false">
      <c r="B16" s="53" t="s">
        <v>70</v>
      </c>
      <c r="C16" s="55" t="n">
        <f aca="false">C9-C12-C13-C14-C15</f>
        <v>-324.496229633533</v>
      </c>
      <c r="D16" s="55" t="n">
        <f aca="false">D9-D12-D13-D14-D15</f>
        <v>-316.782364832938</v>
      </c>
      <c r="E16" s="55" t="n">
        <f aca="false">E9-E12-E13-E14-E15</f>
        <v>-22.7994001178141</v>
      </c>
      <c r="F16" s="55" t="n">
        <f aca="false">F9-F12-F13-F14-F15</f>
        <v>190.463919339265</v>
      </c>
      <c r="G16" s="55" t="n">
        <f aca="false">G9-G12-G13-G14-G15</f>
        <v>501.693009868376</v>
      </c>
      <c r="H16" s="55" t="n">
        <f aca="false">H9-H12-H13-H14-H15</f>
        <v>876.561939518791</v>
      </c>
      <c r="I16" s="55" t="n">
        <f aca="false">I9-I12-I13-I14-I15</f>
        <v>1232.89387022143</v>
      </c>
      <c r="J16" s="55" t="n">
        <f aca="false">J9-J12-J13-J14-J15</f>
        <v>1622.84154064527</v>
      </c>
      <c r="K16" s="55" t="n">
        <f aca="false">K9-K12-K13-K14-K15</f>
        <v>1992.58605612469</v>
      </c>
      <c r="L16" s="55" t="n">
        <f aca="false">L9-L12-L13-L14-L15</f>
        <v>2347.09012381516</v>
      </c>
    </row>
    <row r="17" customFormat="false" ht="15" hidden="false" customHeight="true" outlineLevel="0" collapsed="false">
      <c r="B17" s="99" t="s">
        <v>795</v>
      </c>
      <c r="C17" s="24" t="n">
        <f aca="false">IFERROR(C16/C5,0)</f>
        <v>-6.18088056444825</v>
      </c>
      <c r="D17" s="24" t="n">
        <f aca="false">IFERROR(D16/D5,0)</f>
        <v>-1.55737799654849</v>
      </c>
      <c r="E17" s="24" t="n">
        <f aca="false">IFERROR(E16/E5,0)</f>
        <v>-0.0464322208032183</v>
      </c>
      <c r="F17" s="24" t="n">
        <f aca="false">IFERROR(F16/F5,0)</f>
        <v>0.22271180401616</v>
      </c>
      <c r="G17" s="24" t="n">
        <f aca="false">IFERROR(G16/G5,0)</f>
        <v>0.34654445883036</v>
      </c>
      <c r="H17" s="24" t="n">
        <f aca="false">IFERROR(H16/H5,0)</f>
        <v>0.402050692994691</v>
      </c>
      <c r="I17" s="24" t="n">
        <f aca="false">IFERROR(I16/I5,0)</f>
        <v>0.427517203416857</v>
      </c>
      <c r="J17" s="24" t="n">
        <f aca="false">IFERROR(J16/J5,0)</f>
        <v>0.4434788198011</v>
      </c>
      <c r="K17" s="24" t="n">
        <f aca="false">IFERROR(K16/K5,0)</f>
        <v>0.454860005296509</v>
      </c>
      <c r="L17" s="24" t="n">
        <f aca="false">IFERROR(L16/L5,0)</f>
        <v>0.464281220997789</v>
      </c>
    </row>
    <row r="19" customFormat="false" ht="27" hidden="false" customHeight="true" outlineLevel="0" collapsed="false">
      <c r="B19" s="96" t="s">
        <v>796</v>
      </c>
      <c r="C19" s="25" t="n">
        <f aca="false">Capex!D39+'R&amp;D_NRE'!D18</f>
        <v>9.77202380952381</v>
      </c>
      <c r="D19" s="25" t="n">
        <f aca="false">Capex!E39+'R&amp;D_NRE'!E18</f>
        <v>33.3310714285715</v>
      </c>
      <c r="E19" s="25" t="n">
        <f aca="false">Capex!F39+'R&amp;D_NRE'!F18</f>
        <v>55.8182142857143</v>
      </c>
      <c r="F19" s="25" t="n">
        <f aca="false">Capex!G39+'R&amp;D_NRE'!G18</f>
        <v>74.9758333333333</v>
      </c>
      <c r="G19" s="25" t="n">
        <f aca="false">Capex!H39+'R&amp;D_NRE'!H18</f>
        <v>87.0052380952381</v>
      </c>
      <c r="H19" s="25" t="n">
        <f aca="false">Capex!I39+'R&amp;D_NRE'!I18</f>
        <v>92.6888095238095</v>
      </c>
      <c r="I19" s="25" t="n">
        <f aca="false">Capex!J39+'R&amp;D_NRE'!J18</f>
        <v>88.8213095238095</v>
      </c>
      <c r="J19" s="25" t="n">
        <f aca="false">Capex!K39+'R&amp;D_NRE'!K18</f>
        <v>73.5707619047619</v>
      </c>
      <c r="K19" s="25" t="n">
        <f aca="false">Capex!L39+'R&amp;D_NRE'!L18</f>
        <v>63.3847380952381</v>
      </c>
      <c r="L19" s="25" t="n">
        <f aca="false">Capex!M39+'R&amp;D_NRE'!M18</f>
        <v>54.5632380952381</v>
      </c>
    </row>
    <row r="20" customFormat="false" ht="15" hidden="false" customHeight="true" outlineLevel="0" collapsed="false">
      <c r="B20" s="53" t="s">
        <v>797</v>
      </c>
      <c r="C20" s="55" t="n">
        <f aca="false">C16-C19</f>
        <v>-334.268253443057</v>
      </c>
      <c r="D20" s="55" t="n">
        <f aca="false">D16-D19</f>
        <v>-350.11343626151</v>
      </c>
      <c r="E20" s="55" t="n">
        <f aca="false">E16-E19</f>
        <v>-78.6176144035284</v>
      </c>
      <c r="F20" s="55" t="n">
        <f aca="false">F16-F19</f>
        <v>115.488086005932</v>
      </c>
      <c r="G20" s="55" t="n">
        <f aca="false">G16-G19</f>
        <v>414.687771773138</v>
      </c>
      <c r="H20" s="55" t="n">
        <f aca="false">H16-H19</f>
        <v>783.873129994981</v>
      </c>
      <c r="I20" s="55" t="n">
        <f aca="false">I16-I19</f>
        <v>1144.07256069762</v>
      </c>
      <c r="J20" s="55" t="n">
        <f aca="false">J16-J19</f>
        <v>1549.27077874051</v>
      </c>
      <c r="K20" s="55" t="n">
        <f aca="false">K16-K19</f>
        <v>1929.20131802945</v>
      </c>
      <c r="L20" s="55" t="n">
        <f aca="false">L16-L19</f>
        <v>2292.52688571992</v>
      </c>
    </row>
    <row r="21" customFormat="false" ht="15" hidden="false" customHeight="true" outlineLevel="0" collapsed="false">
      <c r="B21" s="96" t="s">
        <v>798</v>
      </c>
      <c r="C21" s="25" t="n">
        <f aca="false">Funding!D17</f>
        <v>0.8</v>
      </c>
      <c r="D21" s="25" t="n">
        <f aca="false">Funding!E17</f>
        <v>5.6</v>
      </c>
      <c r="E21" s="25" t="n">
        <f aca="false">Funding!F17</f>
        <v>12.8</v>
      </c>
      <c r="F21" s="25" t="n">
        <f aca="false">Funding!G17</f>
        <v>16</v>
      </c>
      <c r="G21" s="25" t="n">
        <f aca="false">Funding!H17</f>
        <v>14.56</v>
      </c>
      <c r="H21" s="25" t="n">
        <f aca="false">Funding!I17</f>
        <v>11.68</v>
      </c>
      <c r="I21" s="25" t="n">
        <f aca="false">Funding!J17</f>
        <v>8.04</v>
      </c>
      <c r="J21" s="25" t="n">
        <f aca="false">Funding!K17</f>
        <v>3.24</v>
      </c>
      <c r="K21" s="25" t="n">
        <f aca="false">Funding!L17</f>
        <v>0.32</v>
      </c>
      <c r="L21" s="25" t="n">
        <f aca="false">Funding!M17</f>
        <v>0</v>
      </c>
    </row>
    <row r="22" customFormat="false" ht="15" hidden="false" customHeight="true" outlineLevel="0" collapsed="false">
      <c r="B22" s="4" t="s">
        <v>799</v>
      </c>
      <c r="C22" s="55" t="n">
        <f aca="false">C20-C21</f>
        <v>-335.068253443057</v>
      </c>
      <c r="D22" s="55" t="n">
        <f aca="false">D20-D21</f>
        <v>-355.71343626151</v>
      </c>
      <c r="E22" s="55" t="n">
        <f aca="false">E20-E21</f>
        <v>-91.4176144035284</v>
      </c>
      <c r="F22" s="55" t="n">
        <f aca="false">F20-F21</f>
        <v>99.4880860059317</v>
      </c>
      <c r="G22" s="55" t="n">
        <f aca="false">G20-G21</f>
        <v>400.127771773138</v>
      </c>
      <c r="H22" s="55" t="n">
        <f aca="false">H20-H21</f>
        <v>772.193129994981</v>
      </c>
      <c r="I22" s="55" t="n">
        <f aca="false">I20-I21</f>
        <v>1136.03256069762</v>
      </c>
      <c r="J22" s="55" t="n">
        <f aca="false">J20-J21</f>
        <v>1546.03077874051</v>
      </c>
      <c r="K22" s="55" t="n">
        <f aca="false">K20-K21</f>
        <v>1928.88131802945</v>
      </c>
      <c r="L22" s="55" t="n">
        <f aca="false">L20-L21</f>
        <v>2292.52688571992</v>
      </c>
    </row>
    <row r="23" customFormat="false" ht="15" hidden="false" customHeight="true" outlineLevel="0" collapsed="false">
      <c r="B23" s="96" t="s">
        <v>800</v>
      </c>
      <c r="C23" s="25" t="n">
        <f aca="false">C33</f>
        <v>0</v>
      </c>
      <c r="D23" s="25" t="n">
        <f aca="false">D33</f>
        <v>0</v>
      </c>
      <c r="E23" s="25" t="n">
        <f aca="false">E33</f>
        <v>0</v>
      </c>
      <c r="F23" s="25" t="n">
        <f aca="false">F33</f>
        <v>0</v>
      </c>
      <c r="G23" s="25" t="n">
        <f aca="false">G33</f>
        <v>0</v>
      </c>
      <c r="H23" s="25" t="n">
        <f aca="false">H33</f>
        <v>100.960754249822</v>
      </c>
      <c r="I23" s="25" t="n">
        <f aca="false">I33</f>
        <v>291.941265174405</v>
      </c>
      <c r="J23" s="25" t="n">
        <f aca="false">J33</f>
        <v>391.506861351794</v>
      </c>
      <c r="K23" s="25" t="n">
        <f aca="false">K33</f>
        <v>485.24974617403</v>
      </c>
      <c r="L23" s="25" t="n">
        <f aca="false">L33</f>
        <v>575.178679763314</v>
      </c>
    </row>
    <row r="24" customFormat="false" ht="15" hidden="false" customHeight="true" outlineLevel="0" collapsed="false">
      <c r="B24" s="116" t="s">
        <v>801</v>
      </c>
      <c r="C24" s="85" t="n">
        <f aca="false">C22-C23</f>
        <v>-335.068253443057</v>
      </c>
      <c r="D24" s="85" t="n">
        <f aca="false">D22-D23</f>
        <v>-355.71343626151</v>
      </c>
      <c r="E24" s="85" t="n">
        <f aca="false">E22-E23</f>
        <v>-91.4176144035284</v>
      </c>
      <c r="F24" s="85" t="n">
        <f aca="false">F22-F23</f>
        <v>99.4880860059317</v>
      </c>
      <c r="G24" s="85" t="n">
        <f aca="false">G22-G23</f>
        <v>400.127771773138</v>
      </c>
      <c r="H24" s="85" t="n">
        <f aca="false">H22-H23</f>
        <v>671.232375745159</v>
      </c>
      <c r="I24" s="85" t="n">
        <f aca="false">I22-I23</f>
        <v>844.091295523215</v>
      </c>
      <c r="J24" s="85" t="n">
        <f aca="false">J22-J23</f>
        <v>1154.52391738871</v>
      </c>
      <c r="K24" s="85" t="n">
        <f aca="false">K22-K23</f>
        <v>1443.63157185542</v>
      </c>
      <c r="L24" s="85" t="n">
        <f aca="false">L22-L23</f>
        <v>1717.34820595661</v>
      </c>
    </row>
    <row r="26" customFormat="false" ht="15" hidden="false" customHeight="true" outlineLevel="0" collapsed="false">
      <c r="B26" s="1" t="s">
        <v>802</v>
      </c>
    </row>
    <row r="27" customFormat="false" ht="15" hidden="false" customHeight="true" outlineLevel="0" collapsed="false">
      <c r="B27" s="1" t="s">
        <v>803</v>
      </c>
      <c r="C27" s="38" t="n">
        <f aca="false">C22</f>
        <v>-335.068253443057</v>
      </c>
      <c r="D27" s="38" t="n">
        <f aca="false">D22</f>
        <v>-355.71343626151</v>
      </c>
      <c r="E27" s="38" t="n">
        <f aca="false">E22</f>
        <v>-91.4176144035284</v>
      </c>
      <c r="F27" s="38" t="n">
        <f aca="false">F22</f>
        <v>99.4880860059317</v>
      </c>
      <c r="G27" s="38" t="n">
        <f aca="false">G22</f>
        <v>400.127771773138</v>
      </c>
      <c r="H27" s="38" t="n">
        <f aca="false">H22</f>
        <v>772.193129994981</v>
      </c>
      <c r="I27" s="38" t="n">
        <f aca="false">I22</f>
        <v>1136.03256069762</v>
      </c>
      <c r="J27" s="38" t="n">
        <f aca="false">J22</f>
        <v>1546.03077874051</v>
      </c>
      <c r="K27" s="38" t="n">
        <f aca="false">K22</f>
        <v>1928.88131802945</v>
      </c>
      <c r="L27" s="38" t="n">
        <f aca="false">L22</f>
        <v>2292.52688571992</v>
      </c>
    </row>
    <row r="28" customFormat="false" ht="15" hidden="false" customHeight="true" outlineLevel="0" collapsed="false">
      <c r="B28" s="1" t="s">
        <v>804</v>
      </c>
      <c r="C28" s="1" t="n">
        <v>0</v>
      </c>
      <c r="D28" s="1" t="n">
        <f aca="false">C31</f>
        <v>356.943253443057</v>
      </c>
      <c r="E28" s="1" t="n">
        <f aca="false">D31</f>
        <v>782.4900230379</v>
      </c>
      <c r="F28" s="1" t="n">
        <f aca="false">E31</f>
        <v>904.032637441428</v>
      </c>
      <c r="G28" s="1" t="n">
        <f aca="false">F31</f>
        <v>811.576218102163</v>
      </c>
      <c r="H28" s="1" t="n">
        <f aca="false">G31</f>
        <v>396.798446329025</v>
      </c>
      <c r="I28" s="1" t="n">
        <f aca="false">H31</f>
        <v>0</v>
      </c>
      <c r="J28" s="1" t="n">
        <f aca="false">I31</f>
        <v>0</v>
      </c>
      <c r="K28" s="1" t="n">
        <f aca="false">J31</f>
        <v>0</v>
      </c>
      <c r="L28" s="1" t="n">
        <f aca="false">K31</f>
        <v>0</v>
      </c>
    </row>
    <row r="29" customFormat="false" ht="15" hidden="false" customHeight="true" outlineLevel="0" collapsed="false">
      <c r="B29" s="1" t="s">
        <v>805</v>
      </c>
      <c r="C29" s="1" t="n">
        <f aca="false">MAX(0,-(C27+'R&amp;D_NRE'!D18-'R&amp;D_NRE'!D16))</f>
        <v>356.943253443057</v>
      </c>
      <c r="D29" s="1" t="n">
        <f aca="false">MAX(0,-(D27+'R&amp;D_NRE'!E18-'R&amp;D_NRE'!E16))</f>
        <v>425.546769594843</v>
      </c>
      <c r="E29" s="1" t="n">
        <f aca="false">MAX(0,-(E27+'R&amp;D_NRE'!F18-'R&amp;D_NRE'!F16))</f>
        <v>121.542614403528</v>
      </c>
      <c r="F29" s="1" t="n">
        <f aca="false">MAX(0,-(F27+'R&amp;D_NRE'!G18-'R&amp;D_NRE'!G16))</f>
        <v>0</v>
      </c>
      <c r="G29" s="1" t="n">
        <f aca="false">MAX(0,-(G27+'R&amp;D_NRE'!H18-'R&amp;D_NRE'!H16))</f>
        <v>0</v>
      </c>
      <c r="H29" s="1" t="n">
        <f aca="false">MAX(0,-(H27+'R&amp;D_NRE'!I18-'R&amp;D_NRE'!I16))</f>
        <v>0</v>
      </c>
      <c r="I29" s="1" t="n">
        <f aca="false">MAX(0,-(I27+'R&amp;D_NRE'!J18-'R&amp;D_NRE'!J16))</f>
        <v>0</v>
      </c>
      <c r="J29" s="1" t="n">
        <f aca="false">MAX(0,-(J27+'R&amp;D_NRE'!K18-'R&amp;D_NRE'!K16))</f>
        <v>0</v>
      </c>
      <c r="K29" s="1" t="n">
        <f aca="false">MAX(0,-(K27+'R&amp;D_NRE'!L18-'R&amp;D_NRE'!L16))</f>
        <v>0</v>
      </c>
      <c r="L29" s="1" t="n">
        <f aca="false">MAX(0,-(L27+'R&amp;D_NRE'!M18-'R&amp;D_NRE'!M16))</f>
        <v>0</v>
      </c>
    </row>
    <row r="30" customFormat="false" ht="15" hidden="false" customHeight="true" outlineLevel="0" collapsed="false">
      <c r="B30" s="1" t="s">
        <v>806</v>
      </c>
      <c r="C30" s="1" t="n">
        <f aca="false">MIN(C28+C29,MAX(0,(C27+'R&amp;D_NRE'!D18-'R&amp;D_NRE'!D16)))</f>
        <v>0</v>
      </c>
      <c r="D30" s="1" t="n">
        <f aca="false">MIN(D28+D29,MAX(0,(D27+'R&amp;D_NRE'!E18-'R&amp;D_NRE'!E16)))</f>
        <v>0</v>
      </c>
      <c r="E30" s="1" t="n">
        <f aca="false">MIN(E28+E29,MAX(0,(E27+'R&amp;D_NRE'!F18-'R&amp;D_NRE'!F16)))</f>
        <v>0</v>
      </c>
      <c r="F30" s="1" t="n">
        <f aca="false">MIN(F28+F29,MAX(0,(F27+'R&amp;D_NRE'!G18-'R&amp;D_NRE'!G16)))</f>
        <v>92.456419339265</v>
      </c>
      <c r="G30" s="1" t="n">
        <f aca="false">MIN(G28+G29,MAX(0,(G27+'R&amp;D_NRE'!H18-'R&amp;D_NRE'!H16)))</f>
        <v>414.777771773138</v>
      </c>
      <c r="H30" s="1" t="n">
        <f aca="false">MIN(H28+H29,MAX(0,(H27+'R&amp;D_NRE'!I18-'R&amp;D_NRE'!I16)))</f>
        <v>396.798446329025</v>
      </c>
      <c r="I30" s="1" t="n">
        <f aca="false">MIN(I28+I29,MAX(0,(I27+'R&amp;D_NRE'!J18-'R&amp;D_NRE'!J16)))</f>
        <v>0</v>
      </c>
      <c r="J30" s="1" t="n">
        <f aca="false">MIN(J28+J29,MAX(0,(J27+'R&amp;D_NRE'!K18-'R&amp;D_NRE'!K16)))</f>
        <v>0</v>
      </c>
      <c r="K30" s="1" t="n">
        <f aca="false">MIN(K28+K29,MAX(0,(K27+'R&amp;D_NRE'!L18-'R&amp;D_NRE'!L16)))</f>
        <v>0</v>
      </c>
      <c r="L30" s="1" t="n">
        <f aca="false">MIN(L28+L29,MAX(0,(L27+'R&amp;D_NRE'!M18-'R&amp;D_NRE'!M16)))</f>
        <v>0</v>
      </c>
    </row>
    <row r="31" customFormat="false" ht="15" hidden="false" customHeight="true" outlineLevel="0" collapsed="false">
      <c r="B31" s="1" t="s">
        <v>807</v>
      </c>
      <c r="C31" s="1" t="n">
        <f aca="false">C28+C29-C30</f>
        <v>356.943253443057</v>
      </c>
      <c r="D31" s="1" t="n">
        <f aca="false">D28+D29-D30</f>
        <v>782.4900230379</v>
      </c>
      <c r="E31" s="1" t="n">
        <f aca="false">E28+E29-E30</f>
        <v>904.032637441428</v>
      </c>
      <c r="F31" s="1" t="n">
        <f aca="false">F28+F29-F30</f>
        <v>811.576218102163</v>
      </c>
      <c r="G31" s="1" t="n">
        <f aca="false">G28+G29-G30</f>
        <v>396.798446329025</v>
      </c>
      <c r="H31" s="1" t="n">
        <f aca="false">H28+H29-H30</f>
        <v>0</v>
      </c>
      <c r="I31" s="1" t="n">
        <f aca="false">I28+I29-I30</f>
        <v>0</v>
      </c>
      <c r="J31" s="1" t="n">
        <f aca="false">J28+J29-J30</f>
        <v>0</v>
      </c>
      <c r="K31" s="1" t="n">
        <f aca="false">K28+K29-K30</f>
        <v>0</v>
      </c>
      <c r="L31" s="1" t="n">
        <f aca="false">L28+L29-L30</f>
        <v>0</v>
      </c>
    </row>
    <row r="32" customFormat="false" ht="15" hidden="false" customHeight="true" outlineLevel="0" collapsed="false">
      <c r="B32" s="1" t="s">
        <v>808</v>
      </c>
      <c r="C32" s="1" t="n">
        <f aca="false">MAX(0,(C27+'R&amp;D_NRE'!D18-'R&amp;D_NRE'!D16)-C30)</f>
        <v>0</v>
      </c>
      <c r="D32" s="1" t="n">
        <f aca="false">MAX(0,(D27+'R&amp;D_NRE'!E18-'R&amp;D_NRE'!E16)-D30)</f>
        <v>0</v>
      </c>
      <c r="E32" s="1" t="n">
        <f aca="false">MAX(0,(E27+'R&amp;D_NRE'!F18-'R&amp;D_NRE'!F16)-E30)</f>
        <v>0</v>
      </c>
      <c r="F32" s="1" t="n">
        <f aca="false">MAX(0,(F27+'R&amp;D_NRE'!G18-'R&amp;D_NRE'!G16)-F30)</f>
        <v>0</v>
      </c>
      <c r="G32" s="1" t="n">
        <f aca="false">MAX(0,(G27+'R&amp;D_NRE'!H18-'R&amp;D_NRE'!H16)-G30)</f>
        <v>0</v>
      </c>
      <c r="H32" s="1" t="n">
        <f aca="false">MAX(0,(H27+'R&amp;D_NRE'!I18-'R&amp;D_NRE'!I16)-H30)</f>
        <v>403.84301699929</v>
      </c>
      <c r="I32" s="1" t="n">
        <f aca="false">MAX(0,(I27+'R&amp;D_NRE'!J18-'R&amp;D_NRE'!J16)-I30)</f>
        <v>1167.76506069762</v>
      </c>
      <c r="J32" s="1" t="n">
        <f aca="false">MAX(0,(J27+'R&amp;D_NRE'!K18-'R&amp;D_NRE'!K16)-J30)</f>
        <v>1566.02744540717</v>
      </c>
      <c r="K32" s="1" t="n">
        <f aca="false">MAX(0,(K27+'R&amp;D_NRE'!L18-'R&amp;D_NRE'!L16)-K30)</f>
        <v>1940.99898469612</v>
      </c>
      <c r="L32" s="1" t="n">
        <f aca="false">MAX(0,(L27+'R&amp;D_NRE'!M18-'R&amp;D_NRE'!M16)-L30)</f>
        <v>2300.71471905326</v>
      </c>
    </row>
    <row r="33" customFormat="false" ht="15" hidden="false" customHeight="true" outlineLevel="0" collapsed="false">
      <c r="B33" s="1" t="s">
        <v>809</v>
      </c>
      <c r="C33" s="1" t="n">
        <f aca="false">C32*Assumptions!$C$6</f>
        <v>0</v>
      </c>
      <c r="D33" s="1" t="n">
        <f aca="false">D32*Assumptions!$C$6</f>
        <v>0</v>
      </c>
      <c r="E33" s="1" t="n">
        <f aca="false">E32*Assumptions!$C$6</f>
        <v>0</v>
      </c>
      <c r="F33" s="1" t="n">
        <f aca="false">F32*Assumptions!$C$6</f>
        <v>0</v>
      </c>
      <c r="G33" s="1" t="n">
        <f aca="false">G32*Assumptions!$C$6</f>
        <v>0</v>
      </c>
      <c r="H33" s="1" t="n">
        <f aca="false">H32*Assumptions!$C$6</f>
        <v>100.960754249822</v>
      </c>
      <c r="I33" s="1" t="n">
        <f aca="false">I32*Assumptions!$C$6</f>
        <v>291.941265174405</v>
      </c>
      <c r="J33" s="1" t="n">
        <f aca="false">J32*Assumptions!$C$6</f>
        <v>391.506861351794</v>
      </c>
      <c r="K33" s="1" t="n">
        <f aca="false">K32*Assumptions!$C$6</f>
        <v>485.24974617403</v>
      </c>
      <c r="L33" s="1" t="n">
        <f aca="false">L32*Assumptions!$C$6</f>
        <v>575.178679763314</v>
      </c>
    </row>
    <row r="34" customFormat="false" ht="15" hidden="false" customHeight="true" outlineLevel="0" collapsed="false">
      <c r="B34" s="1" t="s">
        <v>810</v>
      </c>
      <c r="C34" s="1" t="n">
        <f aca="false">MAX(0,C27)*Assumptions!$C$37</f>
        <v>0</v>
      </c>
      <c r="D34" s="1" t="n">
        <f aca="false">MAX(0,D27)*Assumptions!$C$37</f>
        <v>0</v>
      </c>
      <c r="E34" s="1" t="n">
        <f aca="false">MAX(0,E27)*Assumptions!$C$37</f>
        <v>0</v>
      </c>
      <c r="F34" s="1" t="n">
        <f aca="false">MAX(0,F27)*Assumptions!$C$37</f>
        <v>14.9232129008898</v>
      </c>
      <c r="G34" s="1" t="n">
        <f aca="false">MAX(0,G27)*Assumptions!$C$37</f>
        <v>60.0191657659707</v>
      </c>
      <c r="H34" s="1" t="n">
        <f aca="false">MAX(0,H27)*Assumptions!$C$37</f>
        <v>115.828969499247</v>
      </c>
      <c r="I34" s="1" t="n">
        <f aca="false">MAX(0,I27)*Assumptions!$C$37</f>
        <v>170.404884104643</v>
      </c>
      <c r="J34" s="1" t="n">
        <f aca="false">MAX(0,J27)*Assumptions!$C$37</f>
        <v>231.904616811076</v>
      </c>
      <c r="K34" s="1" t="n">
        <f aca="false">MAX(0,K27)*Assumptions!$C$37</f>
        <v>289.332197704418</v>
      </c>
      <c r="L34" s="1" t="n">
        <f aca="false">MAX(0,L27)*Assumptions!$C$37</f>
        <v>343.879032857988</v>
      </c>
    </row>
    <row r="35" customFormat="false" ht="15" hidden="false" customHeight="true" outlineLevel="0" collapsed="false">
      <c r="B35" s="1" t="s">
        <v>811</v>
      </c>
      <c r="C35" s="1" t="n">
        <v>0</v>
      </c>
      <c r="D35" s="1" t="n">
        <f aca="false">C38</f>
        <v>0</v>
      </c>
      <c r="E35" s="1" t="n">
        <f aca="false">D38</f>
        <v>0</v>
      </c>
      <c r="F35" s="1" t="n">
        <f aca="false">E38</f>
        <v>0</v>
      </c>
      <c r="G35" s="1" t="n">
        <f aca="false">F38</f>
        <v>14.9232129008898</v>
      </c>
      <c r="H35" s="1" t="n">
        <f aca="false">G38</f>
        <v>74.9423786668604</v>
      </c>
      <c r="I35" s="1" t="n">
        <f aca="false">H38</f>
        <v>89.8105939162853</v>
      </c>
      <c r="J35" s="1" t="n">
        <f aca="false">I38</f>
        <v>0</v>
      </c>
      <c r="K35" s="1" t="n">
        <f aca="false">J38</f>
        <v>0</v>
      </c>
      <c r="L35" s="1" t="n">
        <f aca="false">K38</f>
        <v>0</v>
      </c>
    </row>
    <row r="36" customFormat="false" ht="15" hidden="false" customHeight="true" outlineLevel="0" collapsed="false">
      <c r="B36" s="1" t="s">
        <v>812</v>
      </c>
      <c r="C36" s="1" t="n">
        <f aca="false">IF(C27&gt;0,MIN(C35,MAX(0,C33-C34)),0)</f>
        <v>0</v>
      </c>
      <c r="D36" s="1" t="n">
        <f aca="false">IF(D27&gt;0,MIN(D35,MAX(0,D33-D34)),0)</f>
        <v>0</v>
      </c>
      <c r="E36" s="1" t="n">
        <f aca="false">IF(E27&gt;0,MIN(E35,MAX(0,E33-E34)),0)</f>
        <v>0</v>
      </c>
      <c r="F36" s="1" t="n">
        <f aca="false">IF(F27&gt;0,MIN(F35,MAX(0,F33-F34)),0)</f>
        <v>0</v>
      </c>
      <c r="G36" s="1" t="n">
        <f aca="false">IF(G27&gt;0,MIN(G35,MAX(0,G33-G34)),0)</f>
        <v>0</v>
      </c>
      <c r="H36" s="1" t="n">
        <f aca="false">IF(H27&gt;0,MIN(H35,MAX(0,H33-H34)),0)</f>
        <v>0</v>
      </c>
      <c r="I36" s="1" t="n">
        <f aca="false">IF(I27&gt;0,MIN(I35,MAX(0,I33-I34)),0)</f>
        <v>89.8105939162853</v>
      </c>
      <c r="J36" s="1" t="n">
        <f aca="false">IF(J27&gt;0,MIN(J35,MAX(0,J33-J34)),0)</f>
        <v>0</v>
      </c>
      <c r="K36" s="1" t="n">
        <f aca="false">IF(K27&gt;0,MIN(K35,MAX(0,K33-K34)),0)</f>
        <v>0</v>
      </c>
      <c r="L36" s="1" t="n">
        <f aca="false">IF(L27&gt;0,MIN(L35,MAX(0,L33-L34)),0)</f>
        <v>0</v>
      </c>
    </row>
    <row r="37" customFormat="false" ht="15" hidden="false" customHeight="true" outlineLevel="0" collapsed="false">
      <c r="B37" s="1" t="s">
        <v>813</v>
      </c>
      <c r="C37" s="1" t="n">
        <f aca="false">IF(C27&gt;0,MAX(0,C34-C33),0)</f>
        <v>0</v>
      </c>
      <c r="D37" s="1" t="n">
        <f aca="false">IF(D27&gt;0,MAX(0,D34-D33),0)</f>
        <v>0</v>
      </c>
      <c r="E37" s="1" t="n">
        <f aca="false">IF(E27&gt;0,MAX(0,E34-E33),0)</f>
        <v>0</v>
      </c>
      <c r="F37" s="1" t="n">
        <f aca="false">IF(F27&gt;0,MAX(0,F34-F33),0)</f>
        <v>14.9232129008898</v>
      </c>
      <c r="G37" s="1" t="n">
        <f aca="false">IF(G27&gt;0,MAX(0,G34-G33),0)</f>
        <v>60.0191657659707</v>
      </c>
      <c r="H37" s="1" t="n">
        <f aca="false">IF(H27&gt;0,MAX(0,H34-H33),0)</f>
        <v>14.8682152494248</v>
      </c>
      <c r="I37" s="1" t="n">
        <f aca="false">IF(I27&gt;0,MAX(0,I34-I33),0)</f>
        <v>0</v>
      </c>
      <c r="J37" s="1" t="n">
        <f aca="false">IF(J27&gt;0,MAX(0,J34-J33),0)</f>
        <v>0</v>
      </c>
      <c r="K37" s="1" t="n">
        <f aca="false">IF(K27&gt;0,MAX(0,K34-K33),0)</f>
        <v>0</v>
      </c>
      <c r="L37" s="1" t="n">
        <f aca="false">IF(L27&gt;0,MAX(0,L34-L33),0)</f>
        <v>0</v>
      </c>
    </row>
    <row r="38" customFormat="false" ht="15" hidden="false" customHeight="true" outlineLevel="0" collapsed="false">
      <c r="B38" s="1" t="s">
        <v>814</v>
      </c>
      <c r="C38" s="1" t="n">
        <f aca="false">C35+C37-C36</f>
        <v>0</v>
      </c>
      <c r="D38" s="1" t="n">
        <f aca="false">D35+D37-D36</f>
        <v>0</v>
      </c>
      <c r="E38" s="1" t="n">
        <f aca="false">E35+E37-E36</f>
        <v>0</v>
      </c>
      <c r="F38" s="1" t="n">
        <f aca="false">F35+F37-F36</f>
        <v>14.9232129008898</v>
      </c>
      <c r="G38" s="1" t="n">
        <f aca="false">G35+G37-G36</f>
        <v>74.9423786668604</v>
      </c>
      <c r="H38" s="1" t="n">
        <f aca="false">H35+H37-H36</f>
        <v>89.8105939162853</v>
      </c>
      <c r="I38" s="1" t="n">
        <f aca="false">I35+I37-I36</f>
        <v>0</v>
      </c>
      <c r="J38" s="1" t="n">
        <f aca="false">J35+J37-J36</f>
        <v>0</v>
      </c>
      <c r="K38" s="1" t="n">
        <f aca="false">K35+K37-K36</f>
        <v>0</v>
      </c>
      <c r="L38" s="1" t="n">
        <f aca="false">L35+L37-L36</f>
        <v>0</v>
      </c>
    </row>
    <row r="40" customFormat="false" ht="15" hidden="false" customHeight="true" outlineLevel="0" collapsed="false">
      <c r="B40" s="120" t="s">
        <v>815</v>
      </c>
      <c r="C40" s="120"/>
      <c r="D40" s="120"/>
      <c r="E40" s="120"/>
      <c r="F40" s="120"/>
      <c r="G40" s="120"/>
      <c r="H40" s="120"/>
      <c r="I40" s="120"/>
      <c r="J40" s="120"/>
      <c r="K40" s="120"/>
      <c r="L40" s="120"/>
    </row>
    <row r="41" customFormat="false" ht="15" hidden="false" customHeight="true" outlineLevel="0" collapsed="false">
      <c r="B41" s="121" t="s">
        <v>293</v>
      </c>
      <c r="C41" s="122" t="n">
        <f aca="false">'R&amp;D_NRE'!D18</f>
        <v>4.375</v>
      </c>
      <c r="D41" s="122" t="n">
        <f aca="false">'R&amp;D_NRE'!E18</f>
        <v>19.2166666666667</v>
      </c>
      <c r="E41" s="122" t="n">
        <f aca="false">'R&amp;D_NRE'!F18</f>
        <v>29.085</v>
      </c>
      <c r="F41" s="122" t="n">
        <f aca="false">'R&amp;D_NRE'!G18</f>
        <v>36.3083333333333</v>
      </c>
      <c r="G41" s="122" t="n">
        <f aca="false">'R&amp;D_NRE'!H18</f>
        <v>40.64</v>
      </c>
      <c r="H41" s="122" t="n">
        <f aca="false">'R&amp;D_NRE'!I18</f>
        <v>43.0783333333333</v>
      </c>
      <c r="I41" s="122" t="n">
        <f aca="false">'R&amp;D_NRE'!J18</f>
        <v>40.0975</v>
      </c>
      <c r="J41" s="122" t="n">
        <f aca="false">'R&amp;D_NRE'!K18</f>
        <v>26.3076666666667</v>
      </c>
      <c r="K41" s="122" t="n">
        <f aca="false">'R&amp;D_NRE'!L18</f>
        <v>17.3036666666667</v>
      </c>
      <c r="L41" s="122" t="n">
        <f aca="false">'R&amp;D_NRE'!M18</f>
        <v>10.4588333333333</v>
      </c>
    </row>
    <row r="42" customFormat="false" ht="15" hidden="false" customHeight="true" outlineLevel="0" collapsed="false">
      <c r="B42" s="121" t="s">
        <v>295</v>
      </c>
      <c r="C42" s="122" t="n">
        <f aca="false">'R&amp;D_NRE'!D16</f>
        <v>26.25</v>
      </c>
      <c r="D42" s="122" t="n">
        <f aca="false">'R&amp;D_NRE'!E16</f>
        <v>89.05</v>
      </c>
      <c r="E42" s="122" t="n">
        <f aca="false">'R&amp;D_NRE'!F16</f>
        <v>59.21</v>
      </c>
      <c r="F42" s="122" t="n">
        <f aca="false">'R&amp;D_NRE'!G16</f>
        <v>43.34</v>
      </c>
      <c r="G42" s="122" t="n">
        <f aca="false">'R&amp;D_NRE'!H16</f>
        <v>25.99</v>
      </c>
      <c r="H42" s="122" t="n">
        <f aca="false">'R&amp;D_NRE'!I16</f>
        <v>14.63</v>
      </c>
      <c r="I42" s="122" t="n">
        <f aca="false">'R&amp;D_NRE'!J16</f>
        <v>8.365</v>
      </c>
      <c r="J42" s="122" t="n">
        <f aca="false">'R&amp;D_NRE'!K16</f>
        <v>6.311</v>
      </c>
      <c r="K42" s="122" t="n">
        <f aca="false">'R&amp;D_NRE'!L16</f>
        <v>5.186</v>
      </c>
      <c r="L42" s="122" t="n">
        <f aca="false">'R&amp;D_NRE'!M16</f>
        <v>2.271</v>
      </c>
    </row>
    <row r="43" customFormat="false" ht="15" hidden="false" customHeight="true" outlineLevel="0" collapsed="false">
      <c r="B43" s="121" t="s">
        <v>297</v>
      </c>
      <c r="C43" s="122" t="n">
        <f aca="false">C27+C41-C42</f>
        <v>-356.943253443057</v>
      </c>
      <c r="D43" s="122" t="n">
        <f aca="false">D27+D41-D42</f>
        <v>-425.546769594843</v>
      </c>
      <c r="E43" s="122" t="n">
        <f aca="false">E27+E41-E42</f>
        <v>-121.542614403528</v>
      </c>
      <c r="F43" s="122" t="n">
        <f aca="false">F27+F41-F42</f>
        <v>92.456419339265</v>
      </c>
      <c r="G43" s="122" t="n">
        <f aca="false">G27+G41-G42</f>
        <v>414.777771773138</v>
      </c>
      <c r="H43" s="122" t="n">
        <f aca="false">H27+H41-H42</f>
        <v>800.641463328315</v>
      </c>
      <c r="I43" s="122" t="n">
        <f aca="false">I27+I41-I42</f>
        <v>1167.76506069762</v>
      </c>
      <c r="J43" s="122" t="n">
        <f aca="false">J27+J41-J42</f>
        <v>1566.02744540717</v>
      </c>
      <c r="K43" s="122" t="n">
        <f aca="false">K27+K41-K42</f>
        <v>1940.99898469612</v>
      </c>
      <c r="L43" s="122" t="n">
        <f aca="false">L27+L41-L42</f>
        <v>2300.71471905326</v>
      </c>
    </row>
  </sheetData>
  <mergeCells count="1">
    <mergeCell ref="B2:M2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F37" activeCellId="0" sqref="F3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4" hidden="false" customHeight="true" outlineLevel="0" collapsed="false">
      <c r="B2" s="19" t="s">
        <v>816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4" customFormat="false" ht="15" hidden="false" customHeight="true" outlineLevel="0" collapsed="false">
      <c r="B4" s="20" t="s">
        <v>787</v>
      </c>
      <c r="C4" s="21" t="s">
        <v>30</v>
      </c>
      <c r="D4" s="21" t="s">
        <v>25</v>
      </c>
      <c r="E4" s="21" t="s">
        <v>44</v>
      </c>
      <c r="F4" s="21" t="s">
        <v>39</v>
      </c>
      <c r="G4" s="21" t="s">
        <v>58</v>
      </c>
      <c r="H4" s="21" t="s">
        <v>59</v>
      </c>
      <c r="I4" s="21" t="s">
        <v>60</v>
      </c>
      <c r="J4" s="21" t="s">
        <v>61</v>
      </c>
      <c r="K4" s="21" t="s">
        <v>62</v>
      </c>
      <c r="L4" s="21" t="s">
        <v>63</v>
      </c>
    </row>
    <row r="5" customFormat="false" ht="21.75" hidden="false" customHeight="true" outlineLevel="0" collapsed="false">
      <c r="B5" s="6" t="s">
        <v>817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true" outlineLevel="0" collapsed="false">
      <c r="B6" s="4" t="s">
        <v>72</v>
      </c>
      <c r="C6" s="25" t="n">
        <f aca="false">'P&amp;L'!C24</f>
        <v>-335.068253443057</v>
      </c>
      <c r="D6" s="25" t="n">
        <f aca="false">'P&amp;L'!D24</f>
        <v>-355.71343626151</v>
      </c>
      <c r="E6" s="25" t="n">
        <f aca="false">'P&amp;L'!E24</f>
        <v>-91.4176144035284</v>
      </c>
      <c r="F6" s="25" t="n">
        <f aca="false">'P&amp;L'!F24</f>
        <v>99.4880860059317</v>
      </c>
      <c r="G6" s="25" t="n">
        <f aca="false">'P&amp;L'!G24</f>
        <v>400.127771773138</v>
      </c>
      <c r="H6" s="25" t="n">
        <f aca="false">'P&amp;L'!H24</f>
        <v>671.232375745159</v>
      </c>
      <c r="I6" s="25" t="n">
        <f aca="false">'P&amp;L'!I24</f>
        <v>844.091295523215</v>
      </c>
      <c r="J6" s="25" t="n">
        <f aca="false">'P&amp;L'!J24</f>
        <v>1154.52391738871</v>
      </c>
      <c r="K6" s="25" t="n">
        <f aca="false">'P&amp;L'!K24</f>
        <v>1443.63157185542</v>
      </c>
      <c r="L6" s="25" t="n">
        <f aca="false">'P&amp;L'!L24</f>
        <v>1717.34820595661</v>
      </c>
    </row>
    <row r="7" customFormat="false" ht="15" hidden="false" customHeight="true" outlineLevel="0" collapsed="false">
      <c r="B7" s="96" t="s">
        <v>818</v>
      </c>
      <c r="C7" s="25" t="n">
        <f aca="false">'P&amp;L'!C19</f>
        <v>9.77202380952381</v>
      </c>
      <c r="D7" s="25" t="n">
        <f aca="false">'P&amp;L'!D19</f>
        <v>33.3310714285715</v>
      </c>
      <c r="E7" s="25" t="n">
        <f aca="false">'P&amp;L'!E19</f>
        <v>55.8182142857143</v>
      </c>
      <c r="F7" s="25" t="n">
        <f aca="false">'P&amp;L'!F19</f>
        <v>74.9758333333333</v>
      </c>
      <c r="G7" s="25" t="n">
        <f aca="false">'P&amp;L'!G19</f>
        <v>87.0052380952381</v>
      </c>
      <c r="H7" s="25" t="n">
        <f aca="false">'P&amp;L'!H19</f>
        <v>92.6888095238095</v>
      </c>
      <c r="I7" s="25" t="n">
        <f aca="false">'P&amp;L'!I19</f>
        <v>88.8213095238095</v>
      </c>
      <c r="J7" s="25" t="n">
        <f aca="false">'P&amp;L'!J19</f>
        <v>73.5707619047619</v>
      </c>
      <c r="K7" s="25" t="n">
        <f aca="false">'P&amp;L'!K19</f>
        <v>63.3847380952381</v>
      </c>
      <c r="L7" s="25" t="n">
        <f aca="false">'P&amp;L'!L19</f>
        <v>54.5632380952381</v>
      </c>
    </row>
    <row r="8" customFormat="false" ht="15" hidden="false" customHeight="true" outlineLevel="0" collapsed="false">
      <c r="B8" s="99" t="s">
        <v>819</v>
      </c>
      <c r="C8" s="25" t="n">
        <f aca="false">Assumptions!$C$11/365*'P&amp;L'!C5</f>
        <v>25.8904109589041</v>
      </c>
      <c r="D8" s="25" t="n">
        <f aca="false">Assumptions!$C$11/365*'P&amp;L'!D5</f>
        <v>100.310547945205</v>
      </c>
      <c r="E8" s="25" t="n">
        <f aca="false">Assumptions!$C$11/365*'P&amp;L'!E5</f>
        <v>242.149515780822</v>
      </c>
      <c r="F8" s="25" t="n">
        <f aca="false">Assumptions!$C$11/365*'P&amp;L'!F5</f>
        <v>421.744202970411</v>
      </c>
      <c r="G8" s="25" t="n">
        <f aca="false">Assumptions!$C$11/365*'P&amp;L'!G5</f>
        <v>713.935095880586</v>
      </c>
      <c r="H8" s="25" t="n">
        <f aca="false">Assumptions!$C$11/365*'P&amp;L'!H5</f>
        <v>1075.18063863725</v>
      </c>
      <c r="I8" s="25" t="n">
        <f aca="false">Assumptions!$C$11/365*'P&amp;L'!I5</f>
        <v>1422.17073766436</v>
      </c>
      <c r="J8" s="25" t="n">
        <f aca="false">Assumptions!$C$11/365*'P&amp;L'!J5</f>
        <v>1804.60798029419</v>
      </c>
      <c r="K8" s="25" t="n">
        <f aca="false">Assumptions!$C$11/365*'P&amp;L'!K5</f>
        <v>2160.32442272498</v>
      </c>
      <c r="L8" s="25" t="n">
        <f aca="false">Assumptions!$C$11/365*'P&amp;L'!L5</f>
        <v>2493.03450108945</v>
      </c>
    </row>
    <row r="9" customFormat="false" ht="15" hidden="false" customHeight="true" outlineLevel="0" collapsed="false">
      <c r="B9" s="99" t="s">
        <v>820</v>
      </c>
      <c r="C9" s="25" t="n">
        <f aca="false">Assumptions!$C$13/365*'P&amp;L'!C8</f>
        <v>6.28480682470675</v>
      </c>
      <c r="D9" s="25" t="n">
        <f aca="false">Assumptions!$C$13/365*'P&amp;L'!D8</f>
        <v>21.1259423566696</v>
      </c>
      <c r="E9" s="25" t="n">
        <f aca="false">Assumptions!$C$13/365*'P&amp;L'!E8</f>
        <v>44.2721581070977</v>
      </c>
      <c r="F9" s="25" t="n">
        <f aca="false">Assumptions!$C$13/365*'P&amp;L'!F8</f>
        <v>79.3836804654299</v>
      </c>
      <c r="G9" s="25" t="n">
        <f aca="false">Assumptions!$C$13/365*'P&amp;L'!G8</f>
        <v>130.422552589757</v>
      </c>
      <c r="H9" s="25" t="n">
        <f aca="false">Assumptions!$C$13/365*'P&amp;L'!H8</f>
        <v>190.222573374884</v>
      </c>
      <c r="I9" s="25" t="n">
        <f aca="false">Assumptions!$C$13/365*'P&amp;L'!I8</f>
        <v>246.184414037845</v>
      </c>
      <c r="J9" s="25" t="n">
        <f aca="false">Assumptions!$C$13/365*'P&amp;L'!J8</f>
        <v>307.886187078967</v>
      </c>
      <c r="K9" s="25" t="n">
        <f aca="false">Assumptions!$C$13/365*'P&amp;L'!K8</f>
        <v>363.720952128979</v>
      </c>
      <c r="L9" s="25" t="n">
        <f aca="false">Assumptions!$C$13/365*'P&amp;L'!L8</f>
        <v>413.746526427733</v>
      </c>
    </row>
    <row r="10" customFormat="false" ht="15" hidden="false" customHeight="true" outlineLevel="0" collapsed="false">
      <c r="B10" s="99" t="s">
        <v>821</v>
      </c>
      <c r="C10" s="25" t="n">
        <f aca="false">Assumptions!$C$12/365*'P&amp;L'!C8</f>
        <v>3.14240341235338</v>
      </c>
      <c r="D10" s="25" t="n">
        <f aca="false">Assumptions!$C$12/365*'P&amp;L'!D8</f>
        <v>10.5629711783348</v>
      </c>
      <c r="E10" s="25" t="n">
        <f aca="false">Assumptions!$C$12/365*'P&amp;L'!E8</f>
        <v>22.1360790535489</v>
      </c>
      <c r="F10" s="25" t="n">
        <f aca="false">Assumptions!$C$12/365*'P&amp;L'!F8</f>
        <v>39.691840232715</v>
      </c>
      <c r="G10" s="25" t="n">
        <f aca="false">Assumptions!$C$12/365*'P&amp;L'!G8</f>
        <v>65.2112762948785</v>
      </c>
      <c r="H10" s="25" t="n">
        <f aca="false">Assumptions!$C$12/365*'P&amp;L'!H8</f>
        <v>95.1112866874421</v>
      </c>
      <c r="I10" s="25" t="n">
        <f aca="false">Assumptions!$C$12/365*'P&amp;L'!I8</f>
        <v>123.092207018922</v>
      </c>
      <c r="J10" s="25" t="n">
        <f aca="false">Assumptions!$C$12/365*'P&amp;L'!J8</f>
        <v>153.943093539484</v>
      </c>
      <c r="K10" s="25" t="n">
        <f aca="false">Assumptions!$C$12/365*'P&amp;L'!K8</f>
        <v>181.860476064489</v>
      </c>
      <c r="L10" s="25" t="n">
        <f aca="false">Assumptions!$C$12/365*'P&amp;L'!L8</f>
        <v>206.873263213866</v>
      </c>
    </row>
    <row r="11" customFormat="false" ht="15" hidden="false" customHeight="true" outlineLevel="0" collapsed="false">
      <c r="B11" s="99" t="s">
        <v>822</v>
      </c>
      <c r="C11" s="25" t="n">
        <f aca="false">C8+C9-C10</f>
        <v>29.0328143712575</v>
      </c>
      <c r="D11" s="25" t="n">
        <f aca="false">D8+D9-D10</f>
        <v>110.87351912354</v>
      </c>
      <c r="E11" s="25" t="n">
        <f aca="false">E8+E9-E10</f>
        <v>264.285594834371</v>
      </c>
      <c r="F11" s="25" t="n">
        <f aca="false">F8+F9-F10</f>
        <v>461.436043203126</v>
      </c>
      <c r="G11" s="25" t="n">
        <f aca="false">G8+G9-G10</f>
        <v>779.146372175465</v>
      </c>
      <c r="H11" s="25" t="n">
        <f aca="false">H8+H9-H10</f>
        <v>1170.2919253247</v>
      </c>
      <c r="I11" s="25" t="n">
        <f aca="false">I8+I9-I10</f>
        <v>1545.26294468328</v>
      </c>
      <c r="J11" s="25" t="n">
        <f aca="false">J8+J9-J10</f>
        <v>1958.55107383368</v>
      </c>
      <c r="K11" s="25" t="n">
        <f aca="false">K8+K9-K10</f>
        <v>2342.18489878947</v>
      </c>
      <c r="L11" s="25" t="n">
        <f aca="false">L8+L9-L10</f>
        <v>2699.90776430331</v>
      </c>
    </row>
    <row r="12" customFormat="false" ht="23.25" hidden="false" customHeight="true" outlineLevel="0" collapsed="false">
      <c r="B12" s="96" t="s">
        <v>823</v>
      </c>
      <c r="C12" s="25" t="n">
        <f aca="false">C11</f>
        <v>29.0328143712575</v>
      </c>
      <c r="D12" s="25" t="n">
        <f aca="false">D11-C11</f>
        <v>81.8407047522828</v>
      </c>
      <c r="E12" s="25" t="n">
        <f aca="false">E11-D11</f>
        <v>153.41207571083</v>
      </c>
      <c r="F12" s="25" t="n">
        <f aca="false">F11-E11</f>
        <v>197.150448368755</v>
      </c>
      <c r="G12" s="25" t="n">
        <f aca="false">G11-F11</f>
        <v>317.710328972339</v>
      </c>
      <c r="H12" s="25" t="n">
        <f aca="false">H11-G11</f>
        <v>391.14555314923</v>
      </c>
      <c r="I12" s="25" t="n">
        <f aca="false">I11-H11</f>
        <v>374.971019358584</v>
      </c>
      <c r="J12" s="25" t="n">
        <f aca="false">J11-I11</f>
        <v>413.288129150399</v>
      </c>
      <c r="K12" s="25" t="n">
        <f aca="false">K11-J11</f>
        <v>383.63382495579</v>
      </c>
      <c r="L12" s="25" t="n">
        <f aca="false">L11-K11</f>
        <v>357.722865513843</v>
      </c>
    </row>
    <row r="13" customFormat="false" ht="15" hidden="false" customHeight="true" outlineLevel="0" collapsed="false">
      <c r="B13" s="96" t="s">
        <v>824</v>
      </c>
      <c r="C13" s="25" t="n">
        <f aca="false">Backlog!D57</f>
        <v>63.75825</v>
      </c>
      <c r="D13" s="25" t="n">
        <f aca="false">Backlog!E57</f>
        <v>105.414435</v>
      </c>
      <c r="E13" s="25" t="n">
        <f aca="false">Backlog!F57</f>
        <v>150.27770895</v>
      </c>
      <c r="F13" s="25" t="n">
        <f aca="false">Backlog!G57</f>
        <v>249.5936965965</v>
      </c>
      <c r="G13" s="25" t="n">
        <f aca="false">Backlog!H57</f>
        <v>314.200316669655</v>
      </c>
      <c r="H13" s="25" t="n">
        <f aca="false">Backlog!I57</f>
        <v>313.405079081169</v>
      </c>
      <c r="I13" s="25" t="n">
        <f aca="false">Backlog!J57</f>
        <v>348.179127293758</v>
      </c>
      <c r="J13" s="25" t="n">
        <f aca="false">Backlog!K57</f>
        <v>332.710235993849</v>
      </c>
      <c r="K13" s="25" t="n">
        <f aca="false">Backlog!L57</f>
        <v>315.584886421152</v>
      </c>
      <c r="L13" s="25" t="n">
        <f aca="false">Backlog!M57</f>
        <v>308.837720918627</v>
      </c>
    </row>
    <row r="14" customFormat="false" ht="15" hidden="false" customHeight="true" outlineLevel="0" collapsed="false">
      <c r="B14" s="53" t="s">
        <v>825</v>
      </c>
      <c r="C14" s="55" t="n">
        <f aca="false">C6+C7-C12+C13+C15</f>
        <v>-290.570794004791</v>
      </c>
      <c r="D14" s="55" t="n">
        <f aca="false">D6+D7-D12+D13+D15</f>
        <v>-298.808634585221</v>
      </c>
      <c r="E14" s="55" t="n">
        <f aca="false">E6+E7-E12+E13+E15</f>
        <v>-38.7337668786441</v>
      </c>
      <c r="F14" s="55" t="n">
        <f aca="false">F6+F7-F12+F13+F15</f>
        <v>211.98395466612</v>
      </c>
      <c r="G14" s="55" t="n">
        <f aca="false">G6+G7-G12+G13+G15</f>
        <v>423.603831799721</v>
      </c>
      <c r="H14" s="55" t="n">
        <f aca="false">H6+H7-H12+H13+H15</f>
        <v>671.312495951483</v>
      </c>
      <c r="I14" s="55" t="n">
        <f aca="false">I6+I7-I12+I13+I15</f>
        <v>995.931306898484</v>
      </c>
      <c r="J14" s="55" t="n">
        <f aca="false">J6+J7-J12+J13+J15</f>
        <v>1147.51678613693</v>
      </c>
      <c r="K14" s="55" t="n">
        <f aca="false">K6+K7-K12+K13+K15</f>
        <v>1438.96737141602</v>
      </c>
      <c r="L14" s="55" t="n">
        <f aca="false">L6+L7-L12+L13+L15</f>
        <v>1723.02629945663</v>
      </c>
    </row>
    <row r="15" customFormat="false" ht="33" hidden="false" customHeight="true" outlineLevel="0" collapsed="false">
      <c r="B15" s="68" t="s">
        <v>826</v>
      </c>
      <c r="C15" s="1" t="n">
        <f aca="false">-'P&amp;L'!C38</f>
        <v>-0</v>
      </c>
      <c r="D15" s="1" t="n">
        <f aca="false">-('P&amp;L'!D38-'P&amp;L'!C38)</f>
        <v>-0</v>
      </c>
      <c r="E15" s="1" t="n">
        <f aca="false">-('P&amp;L'!E38-'P&amp;L'!D38)</f>
        <v>-0</v>
      </c>
      <c r="F15" s="1" t="n">
        <f aca="false">-('P&amp;L'!F38-'P&amp;L'!E38)</f>
        <v>-14.9232129008898</v>
      </c>
      <c r="G15" s="1" t="n">
        <f aca="false">-('P&amp;L'!G38-'P&amp;L'!F38)</f>
        <v>-60.0191657659707</v>
      </c>
      <c r="H15" s="1" t="n">
        <f aca="false">-('P&amp;L'!H38-'P&amp;L'!G38)</f>
        <v>-14.8682152494248</v>
      </c>
      <c r="I15" s="1" t="n">
        <f aca="false">-('P&amp;L'!I38-'P&amp;L'!H38)</f>
        <v>89.8105939162853</v>
      </c>
      <c r="J15" s="1" t="n">
        <f aca="false">-('P&amp;L'!J38-'P&amp;L'!I38)</f>
        <v>-0</v>
      </c>
      <c r="K15" s="1" t="n">
        <f aca="false">-('P&amp;L'!K38-'P&amp;L'!J38)</f>
        <v>-0</v>
      </c>
      <c r="L15" s="1" t="n">
        <f aca="false">-('P&amp;L'!L38-'P&amp;L'!K38)</f>
        <v>-0</v>
      </c>
    </row>
    <row r="16" customFormat="false" ht="21.75" hidden="false" customHeight="true" outlineLevel="0" collapsed="false">
      <c r="B16" s="6" t="s">
        <v>827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5" hidden="false" customHeight="true" outlineLevel="0" collapsed="false">
      <c r="B17" s="4" t="s">
        <v>828</v>
      </c>
      <c r="C17" s="25" t="n">
        <f aca="false">-Capex!D21</f>
        <v>-35.45</v>
      </c>
      <c r="D17" s="25" t="n">
        <f aca="false">-Capex!E21</f>
        <v>-67.225</v>
      </c>
      <c r="E17" s="25" t="n">
        <f aca="false">-Capex!F21</f>
        <v>-118.15</v>
      </c>
      <c r="F17" s="25" t="n">
        <f aca="false">-Capex!G21</f>
        <v>-135.7</v>
      </c>
      <c r="G17" s="25" t="n">
        <f aca="false">-Capex!H21</f>
        <v>-94.375</v>
      </c>
      <c r="H17" s="25" t="n">
        <f aca="false">-Capex!I21</f>
        <v>-47.1</v>
      </c>
      <c r="I17" s="25" t="n">
        <f aca="false">-Capex!J21</f>
        <v>-19.95</v>
      </c>
      <c r="J17" s="25" t="n">
        <f aca="false">-Capex!K21</f>
        <v>-29.45</v>
      </c>
      <c r="K17" s="25" t="n">
        <f aca="false">-Capex!L21</f>
        <v>-29.925</v>
      </c>
      <c r="L17" s="25" t="n">
        <f aca="false">-Capex!M21</f>
        <v>-22.8</v>
      </c>
    </row>
    <row r="18" customFormat="false" ht="15" hidden="false" customHeight="true" outlineLevel="0" collapsed="false">
      <c r="B18" s="4" t="s">
        <v>829</v>
      </c>
      <c r="C18" s="25" t="n">
        <f aca="false">-Backlog!D63</f>
        <v>-7.65099</v>
      </c>
      <c r="D18" s="25" t="n">
        <f aca="false">-(Backlog!E63-Backlog!D63)</f>
        <v>-12.6497322</v>
      </c>
      <c r="E18" s="25" t="n">
        <f aca="false">-(Backlog!F63-Backlog!E63)</f>
        <v>-18.033325074</v>
      </c>
      <c r="F18" s="25" t="n">
        <f aca="false">-(Backlog!G63-Backlog!F63)</f>
        <v>-29.95124359158</v>
      </c>
      <c r="G18" s="25" t="n">
        <f aca="false">-(Backlog!H63-Backlog!G63)</f>
        <v>-37.7040380003586</v>
      </c>
      <c r="H18" s="25" t="n">
        <f aca="false">-(Backlog!I63-Backlog!H63)</f>
        <v>-37.6086094897402</v>
      </c>
      <c r="I18" s="25" t="n">
        <f aca="false">-(Backlog!J63-Backlog!I63)</f>
        <v>-41.781495275251</v>
      </c>
      <c r="J18" s="25" t="n">
        <f aca="false">-(Backlog!K63-Backlog!J63)</f>
        <v>-39.9252283192618</v>
      </c>
      <c r="K18" s="25" t="n">
        <f aca="false">-(Backlog!L63-Backlog!K63)</f>
        <v>-37.8701863705383</v>
      </c>
      <c r="L18" s="25" t="n">
        <f aca="false">-(Backlog!M63-Backlog!L63)</f>
        <v>-37.0605265102352</v>
      </c>
    </row>
    <row r="19" customFormat="false" ht="15" hidden="false" customHeight="true" outlineLevel="0" collapsed="false">
      <c r="B19" s="53" t="s">
        <v>830</v>
      </c>
      <c r="C19" s="55" t="n">
        <f aca="false">C17+C18-'R&amp;D_NRE'!D16</f>
        <v>-69.35099</v>
      </c>
      <c r="D19" s="55" t="n">
        <f aca="false">D17+D18-'R&amp;D_NRE'!E16</f>
        <v>-168.9247322</v>
      </c>
      <c r="E19" s="55" t="n">
        <f aca="false">E17+E18-'R&amp;D_NRE'!F16</f>
        <v>-195.393325074</v>
      </c>
      <c r="F19" s="55" t="n">
        <f aca="false">F17+F18-'R&amp;D_NRE'!G16</f>
        <v>-208.99124359158</v>
      </c>
      <c r="G19" s="55" t="n">
        <f aca="false">G17+G18-'R&amp;D_NRE'!H16</f>
        <v>-158.069038000359</v>
      </c>
      <c r="H19" s="55" t="n">
        <f aca="false">H17+H18-'R&amp;D_NRE'!I16</f>
        <v>-99.3386094897402</v>
      </c>
      <c r="I19" s="55" t="n">
        <f aca="false">I17+I18-'R&amp;D_NRE'!J16</f>
        <v>-70.096495275251</v>
      </c>
      <c r="J19" s="55" t="n">
        <f aca="false">J17+J18-'R&amp;D_NRE'!K16</f>
        <v>-75.6862283192618</v>
      </c>
      <c r="K19" s="55" t="n">
        <f aca="false">K17+K18-'R&amp;D_NRE'!L16</f>
        <v>-72.9811863705383</v>
      </c>
      <c r="L19" s="55" t="n">
        <f aca="false">L17+L18-'R&amp;D_NRE'!M16</f>
        <v>-62.1315265102352</v>
      </c>
    </row>
    <row r="21" customFormat="false" ht="21.75" hidden="false" customHeight="true" outlineLevel="0" collapsed="false">
      <c r="B21" s="6" t="s">
        <v>831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customFormat="false" ht="15" hidden="false" customHeight="true" outlineLevel="0" collapsed="false">
      <c r="B22" s="54" t="s">
        <v>81</v>
      </c>
      <c r="C22" s="25" t="n">
        <f aca="false">Funding!D9</f>
        <v>450</v>
      </c>
      <c r="D22" s="25" t="n">
        <f aca="false">Funding!E9</f>
        <v>400</v>
      </c>
      <c r="E22" s="25" t="n">
        <f aca="false">Funding!F9</f>
        <v>250</v>
      </c>
      <c r="F22" s="25" t="n">
        <f aca="false">Funding!G9</f>
        <v>0</v>
      </c>
      <c r="G22" s="25" t="n">
        <f aca="false">Funding!H9</f>
        <v>0</v>
      </c>
      <c r="H22" s="25" t="n">
        <f aca="false">Funding!I9</f>
        <v>0</v>
      </c>
      <c r="I22" s="25" t="n">
        <f aca="false">Funding!J9</f>
        <v>0</v>
      </c>
      <c r="J22" s="25" t="n">
        <f aca="false">Funding!K9</f>
        <v>0</v>
      </c>
      <c r="K22" s="25" t="n">
        <f aca="false">Funding!L9</f>
        <v>0</v>
      </c>
      <c r="L22" s="25" t="n">
        <f aca="false">Funding!M9</f>
        <v>0</v>
      </c>
    </row>
    <row r="23" customFormat="false" ht="15" hidden="false" customHeight="true" outlineLevel="0" collapsed="false">
      <c r="B23" s="54" t="s">
        <v>832</v>
      </c>
      <c r="C23" s="25" t="n">
        <f aca="false">Funding!D13-Funding!D14</f>
        <v>20</v>
      </c>
      <c r="D23" s="25" t="n">
        <f aca="false">Funding!E13-Funding!E14</f>
        <v>100</v>
      </c>
      <c r="E23" s="25" t="n">
        <f aca="false">Funding!F13-Funding!F14</f>
        <v>80</v>
      </c>
      <c r="F23" s="25" t="n">
        <f aca="false">Funding!G13-Funding!G14</f>
        <v>0</v>
      </c>
      <c r="G23" s="25" t="n">
        <f aca="false">Funding!H13-Funding!H14</f>
        <v>-36</v>
      </c>
      <c r="H23" s="25" t="n">
        <f aca="false">Funding!I13-Funding!I14</f>
        <v>-36</v>
      </c>
      <c r="I23" s="25" t="n">
        <f aca="false">Funding!J13-Funding!J14</f>
        <v>-55</v>
      </c>
      <c r="J23" s="25" t="n">
        <f aca="false">Funding!K13-Funding!K14</f>
        <v>-65</v>
      </c>
      <c r="K23" s="25" t="n">
        <f aca="false">Funding!L13-Funding!L14</f>
        <v>-8</v>
      </c>
      <c r="L23" s="25" t="n">
        <f aca="false">Funding!M13-Funding!M14</f>
        <v>0</v>
      </c>
    </row>
    <row r="24" customFormat="false" ht="15" hidden="false" customHeight="true" outlineLevel="0" collapsed="false">
      <c r="B24" s="53" t="s">
        <v>833</v>
      </c>
      <c r="C24" s="55" t="n">
        <f aca="false">C22+C23</f>
        <v>470</v>
      </c>
      <c r="D24" s="55" t="n">
        <f aca="false">D22+D23</f>
        <v>500</v>
      </c>
      <c r="E24" s="55" t="n">
        <f aca="false">E22+E23</f>
        <v>330</v>
      </c>
      <c r="F24" s="55" t="n">
        <f aca="false">F22+F23</f>
        <v>0</v>
      </c>
      <c r="G24" s="55" t="n">
        <f aca="false">G22+G23</f>
        <v>-36</v>
      </c>
      <c r="H24" s="55" t="n">
        <f aca="false">H22+H23</f>
        <v>-36</v>
      </c>
      <c r="I24" s="55" t="n">
        <f aca="false">I22+I23</f>
        <v>-55</v>
      </c>
      <c r="J24" s="55" t="n">
        <f aca="false">J22+J23</f>
        <v>-65</v>
      </c>
      <c r="K24" s="55" t="n">
        <f aca="false">K22+K23</f>
        <v>-8</v>
      </c>
      <c r="L24" s="55" t="n">
        <f aca="false">L22+L23</f>
        <v>0</v>
      </c>
    </row>
    <row r="26" customFormat="false" ht="21.75" hidden="false" customHeight="true" outlineLevel="0" collapsed="false">
      <c r="B26" s="6" t="s">
        <v>834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customFormat="false" ht="15" hidden="false" customHeight="true" outlineLevel="0" collapsed="false">
      <c r="B27" s="53" t="s">
        <v>835</v>
      </c>
      <c r="C27" s="55" t="n">
        <f aca="false">C14+C19</f>
        <v>-359.921784004791</v>
      </c>
      <c r="D27" s="55" t="n">
        <f aca="false">D14+D19</f>
        <v>-467.733366785221</v>
      </c>
      <c r="E27" s="55" t="n">
        <f aca="false">E14+E19</f>
        <v>-234.127091952644</v>
      </c>
      <c r="F27" s="55" t="n">
        <f aca="false">F14+F19</f>
        <v>2.99271107454024</v>
      </c>
      <c r="G27" s="55" t="n">
        <f aca="false">G14+G19</f>
        <v>265.534793799362</v>
      </c>
      <c r="H27" s="55" t="n">
        <f aca="false">H14+H19</f>
        <v>571.973886461743</v>
      </c>
      <c r="I27" s="55" t="n">
        <f aca="false">I14+I19</f>
        <v>925.834811623233</v>
      </c>
      <c r="J27" s="55" t="n">
        <f aca="false">J14+J19</f>
        <v>1071.83055781766</v>
      </c>
      <c r="K27" s="55" t="n">
        <f aca="false">K14+K19</f>
        <v>1365.98618504548</v>
      </c>
      <c r="L27" s="55" t="n">
        <f aca="false">L14+L19</f>
        <v>1660.8947729464</v>
      </c>
    </row>
    <row r="28" customFormat="false" ht="15" hidden="false" customHeight="true" outlineLevel="0" collapsed="false">
      <c r="B28" s="54" t="s">
        <v>836</v>
      </c>
      <c r="C28" s="25" t="n">
        <f aca="false">C27</f>
        <v>-359.921784004791</v>
      </c>
      <c r="D28" s="25" t="n">
        <f aca="false">C28+D27</f>
        <v>-827.655150790011</v>
      </c>
      <c r="E28" s="25" t="n">
        <f aca="false">D28+E27</f>
        <v>-1061.78224274266</v>
      </c>
      <c r="F28" s="25" t="n">
        <f aca="false">E28+F27</f>
        <v>-1058.78953166812</v>
      </c>
      <c r="G28" s="25" t="n">
        <f aca="false">F28+G27</f>
        <v>-793.254737868753</v>
      </c>
      <c r="H28" s="25" t="n">
        <f aca="false">G28+H27</f>
        <v>-221.28085140701</v>
      </c>
      <c r="I28" s="25" t="n">
        <f aca="false">H28+I27</f>
        <v>704.553960216223</v>
      </c>
      <c r="J28" s="25" t="n">
        <f aca="false">I28+J27</f>
        <v>1776.38451803389</v>
      </c>
      <c r="K28" s="25" t="n">
        <f aca="false">J28+K27</f>
        <v>3142.37070307937</v>
      </c>
      <c r="L28" s="25" t="n">
        <f aca="false">K28+L27</f>
        <v>4803.26547602577</v>
      </c>
    </row>
    <row r="29" customFormat="false" ht="15" hidden="false" customHeight="true" outlineLevel="0" collapsed="false">
      <c r="B29" s="4" t="s">
        <v>837</v>
      </c>
      <c r="C29" s="25" t="n">
        <f aca="false">C27+C24</f>
        <v>110.078215995209</v>
      </c>
      <c r="D29" s="25" t="n">
        <f aca="false">D27+D24</f>
        <v>32.2666332147792</v>
      </c>
      <c r="E29" s="25" t="n">
        <f aca="false">E27+E24</f>
        <v>95.8729080473559</v>
      </c>
      <c r="F29" s="25" t="n">
        <f aca="false">F27+F24</f>
        <v>2.99271107454024</v>
      </c>
      <c r="G29" s="25" t="n">
        <f aca="false">G27+G24</f>
        <v>229.534793799362</v>
      </c>
      <c r="H29" s="25" t="n">
        <f aca="false">H27+H24</f>
        <v>535.973886461743</v>
      </c>
      <c r="I29" s="25" t="n">
        <f aca="false">I27+I24</f>
        <v>870.834811623233</v>
      </c>
      <c r="J29" s="25" t="n">
        <f aca="false">J27+J24</f>
        <v>1006.83055781766</v>
      </c>
      <c r="K29" s="25" t="n">
        <f aca="false">K27+K24</f>
        <v>1357.98618504548</v>
      </c>
      <c r="L29" s="25" t="n">
        <f aca="false">L27+L24</f>
        <v>1660.8947729464</v>
      </c>
    </row>
    <row r="30" customFormat="false" ht="15" hidden="false" customHeight="true" outlineLevel="0" collapsed="false">
      <c r="B30" s="116" t="s">
        <v>838</v>
      </c>
      <c r="C30" s="85" t="n">
        <f aca="false">C29</f>
        <v>110.078215995209</v>
      </c>
      <c r="D30" s="85" t="n">
        <f aca="false">C30+D29</f>
        <v>142.344849209989</v>
      </c>
      <c r="E30" s="85" t="n">
        <f aca="false">D30+E29</f>
        <v>238.217757257345</v>
      </c>
      <c r="F30" s="85" t="n">
        <f aca="false">E30+F29</f>
        <v>241.210468331885</v>
      </c>
      <c r="G30" s="85" t="n">
        <f aca="false">F30+G29</f>
        <v>470.745262131247</v>
      </c>
      <c r="H30" s="85" t="n">
        <f aca="false">G30+H29</f>
        <v>1006.71914859299</v>
      </c>
      <c r="I30" s="85" t="n">
        <f aca="false">H30+I29</f>
        <v>1877.55396021622</v>
      </c>
      <c r="J30" s="85" t="n">
        <f aca="false">I30+J29</f>
        <v>2884.38451803389</v>
      </c>
      <c r="K30" s="85" t="n">
        <f aca="false">J30+K29</f>
        <v>4242.37070307937</v>
      </c>
      <c r="L30" s="85" t="n">
        <f aca="false">K30+L29</f>
        <v>5903.26547602577</v>
      </c>
    </row>
    <row r="31" customFormat="false" ht="15" hidden="false" customHeight="true" outlineLevel="0" collapsed="false">
      <c r="B31" s="54" t="s">
        <v>839</v>
      </c>
      <c r="C31" s="25" t="n">
        <f aca="false">C22+MAX(0,C23)</f>
        <v>470</v>
      </c>
      <c r="D31" s="25" t="n">
        <f aca="false">C31+D22+MAX(0,D23)</f>
        <v>970</v>
      </c>
      <c r="E31" s="25" t="n">
        <f aca="false">D31+E22+MAX(0,E23)</f>
        <v>1300</v>
      </c>
      <c r="F31" s="25" t="n">
        <f aca="false">E31+F22+MAX(0,F23)</f>
        <v>1300</v>
      </c>
      <c r="G31" s="25" t="n">
        <f aca="false">F31+G22+MAX(0,G23)</f>
        <v>1300</v>
      </c>
      <c r="H31" s="25" t="n">
        <f aca="false">G31+H22+MAX(0,H23)</f>
        <v>1300</v>
      </c>
      <c r="I31" s="25" t="n">
        <f aca="false">H31+I22+MAX(0,I23)</f>
        <v>1300</v>
      </c>
      <c r="J31" s="25" t="n">
        <f aca="false">I31+J22+MAX(0,J23)</f>
        <v>1300</v>
      </c>
      <c r="K31" s="25" t="n">
        <f aca="false">J31+K22+MAX(0,K23)</f>
        <v>1300</v>
      </c>
      <c r="L31" s="25" t="n">
        <f aca="false">K31+L22+MAX(0,L23)</f>
        <v>1300</v>
      </c>
    </row>
    <row r="32" customFormat="false" ht="34.5" hidden="false" customHeight="true" outlineLevel="0" collapsed="false">
      <c r="B32" s="68" t="s">
        <v>840</v>
      </c>
      <c r="C32" s="1" t="n">
        <f aca="false">-'R&amp;D_NRE'!D16</f>
        <v>-26.25</v>
      </c>
      <c r="D32" s="1" t="n">
        <f aca="false">-'R&amp;D_NRE'!E16</f>
        <v>-89.05</v>
      </c>
      <c r="E32" s="1" t="n">
        <f aca="false">-'R&amp;D_NRE'!F16</f>
        <v>-59.21</v>
      </c>
      <c r="F32" s="1" t="n">
        <f aca="false">-'R&amp;D_NRE'!G16</f>
        <v>-43.34</v>
      </c>
      <c r="G32" s="1" t="n">
        <f aca="false">-'R&amp;D_NRE'!H16</f>
        <v>-25.99</v>
      </c>
      <c r="H32" s="1" t="n">
        <f aca="false">-'R&amp;D_NRE'!I16</f>
        <v>-14.63</v>
      </c>
      <c r="I32" s="1" t="n">
        <f aca="false">-'R&amp;D_NRE'!J16</f>
        <v>-8.365</v>
      </c>
      <c r="J32" s="1" t="n">
        <f aca="false">-'R&amp;D_NRE'!K16</f>
        <v>-6.311</v>
      </c>
      <c r="K32" s="1" t="n">
        <f aca="false">-'R&amp;D_NRE'!L16</f>
        <v>-5.186</v>
      </c>
      <c r="L32" s="1" t="n">
        <f aca="false">-'R&amp;D_NRE'!M16</f>
        <v>-2.271</v>
      </c>
    </row>
    <row r="33" customFormat="false" ht="15" hidden="false" customHeight="true" outlineLevel="0" collapsed="false">
      <c r="B33" s="1" t="s">
        <v>841</v>
      </c>
      <c r="C33" s="38" t="n">
        <f aca="false">Assumptions!$C$25</f>
        <v>100</v>
      </c>
      <c r="D33" s="38" t="n">
        <f aca="false">Assumptions!$C$25</f>
        <v>100</v>
      </c>
      <c r="E33" s="38" t="n">
        <f aca="false">Assumptions!$C$25</f>
        <v>100</v>
      </c>
      <c r="F33" s="38" t="n">
        <f aca="false">Assumptions!$C$25</f>
        <v>100</v>
      </c>
      <c r="G33" s="38" t="n">
        <f aca="false">Assumptions!$C$25</f>
        <v>100</v>
      </c>
      <c r="H33" s="38" t="n">
        <f aca="false">Assumptions!$C$25</f>
        <v>100</v>
      </c>
      <c r="I33" s="38" t="n">
        <f aca="false">Assumptions!$C$25</f>
        <v>100</v>
      </c>
      <c r="J33" s="38" t="n">
        <f aca="false">Assumptions!$C$25</f>
        <v>100</v>
      </c>
      <c r="K33" s="38" t="n">
        <f aca="false">Assumptions!$C$25</f>
        <v>100</v>
      </c>
      <c r="L33" s="38" t="n">
        <f aca="false">Assumptions!$C$25</f>
        <v>100</v>
      </c>
    </row>
    <row r="34" customFormat="false" ht="15" hidden="false" customHeight="true" outlineLevel="0" collapsed="false">
      <c r="B34" s="1" t="s">
        <v>842</v>
      </c>
      <c r="C34" s="1" t="n">
        <f aca="false">C30-Assumptions!$C$25</f>
        <v>10.0782159952095</v>
      </c>
      <c r="D34" s="1" t="n">
        <f aca="false">D30-Assumptions!$C$25</f>
        <v>42.3448492099886</v>
      </c>
      <c r="E34" s="1" t="n">
        <f aca="false">E30-Assumptions!$C$25</f>
        <v>138.217757257345</v>
      </c>
      <c r="F34" s="1" t="n">
        <f aca="false">F30-Assumptions!$C$25</f>
        <v>141.210468331885</v>
      </c>
      <c r="G34" s="1" t="n">
        <f aca="false">G30-Assumptions!$C$25</f>
        <v>370.745262131247</v>
      </c>
      <c r="H34" s="1" t="n">
        <f aca="false">H30-Assumptions!$C$25</f>
        <v>906.71914859299</v>
      </c>
      <c r="I34" s="1" t="n">
        <f aca="false">I30-Assumptions!$C$25</f>
        <v>1777.55396021622</v>
      </c>
      <c r="J34" s="1" t="n">
        <f aca="false">J30-Assumptions!$C$25</f>
        <v>2784.38451803389</v>
      </c>
      <c r="K34" s="1" t="n">
        <f aca="false">K30-Assumptions!$C$25</f>
        <v>4142.37070307937</v>
      </c>
      <c r="L34" s="1" t="n">
        <f aca="false">L30-Assumptions!$C$25</f>
        <v>5803.26547602577</v>
      </c>
    </row>
    <row r="35" customFormat="false" ht="27.75" hidden="false" customHeight="true" outlineLevel="0" collapsed="false">
      <c r="B35" s="123" t="s">
        <v>843</v>
      </c>
      <c r="C35" s="124" t="str">
        <f aca="false">IF(C30&lt;Assumptions!$C$25,"BELOW MIN - RAISE/DRAW","OK")</f>
        <v>OK</v>
      </c>
      <c r="D35" s="123" t="str">
        <f aca="false">IF(D30&lt;Assumptions!$C$25,"BELOW MIN - RAISE/DRAW","OK")</f>
        <v>OK</v>
      </c>
      <c r="E35" s="123" t="str">
        <f aca="false">IF(E30&lt;Assumptions!$C$25,"BELOW MIN - RAISE/DRAW","OK")</f>
        <v>OK</v>
      </c>
      <c r="F35" s="123" t="str">
        <f aca="false">IF(F30&lt;Assumptions!$C$25,"BELOW MIN - RAISE/DRAW","OK")</f>
        <v>OK</v>
      </c>
      <c r="G35" s="123" t="str">
        <f aca="false">IF(G30&lt;Assumptions!$C$25,"BELOW MIN - RAISE/DRAW","OK")</f>
        <v>OK</v>
      </c>
      <c r="H35" s="123" t="str">
        <f aca="false">IF(H30&lt;Assumptions!$C$25,"BELOW MIN - RAISE/DRAW","OK")</f>
        <v>OK</v>
      </c>
      <c r="I35" s="123" t="str">
        <f aca="false">IF(I30&lt;Assumptions!$C$25,"BELOW MIN - RAISE/DRAW","OK")</f>
        <v>OK</v>
      </c>
      <c r="J35" s="123" t="str">
        <f aca="false">IF(J30&lt;Assumptions!$C$25,"BELOW MIN - RAISE/DRAW","OK")</f>
        <v>OK</v>
      </c>
      <c r="K35" s="123" t="str">
        <f aca="false">IF(K30&lt;Assumptions!$C$25,"BELOW MIN - RAISE/DRAW","OK")</f>
        <v>OK</v>
      </c>
      <c r="L35" s="123" t="str">
        <f aca="false">IF(L30&lt;Assumptions!$C$25,"BELOW MIN - RAISE/DRAW","OK")</f>
        <v>OK</v>
      </c>
    </row>
  </sheetData>
  <mergeCells count="5">
    <mergeCell ref="B2:M2"/>
    <mergeCell ref="B5:M5"/>
    <mergeCell ref="B16:M16"/>
    <mergeCell ref="B21:M21"/>
    <mergeCell ref="B26:M2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C8" activeCellId="0" sqref="C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4" hidden="false" customHeight="true" outlineLevel="0" collapsed="false">
      <c r="B2" s="19" t="s">
        <v>844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customFormat="false" ht="30" hidden="false" customHeight="true" outlineLevel="0" collapsed="false">
      <c r="B3" s="106" t="s">
        <v>845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</row>
    <row r="4" customFormat="false" ht="15" hidden="false" customHeight="true" outlineLevel="0" collapsed="false">
      <c r="B4" s="20" t="s">
        <v>787</v>
      </c>
      <c r="C4" s="21" t="s">
        <v>30</v>
      </c>
      <c r="D4" s="21" t="s">
        <v>25</v>
      </c>
      <c r="E4" s="21" t="s">
        <v>44</v>
      </c>
      <c r="F4" s="21" t="s">
        <v>39</v>
      </c>
      <c r="G4" s="21" t="s">
        <v>58</v>
      </c>
      <c r="H4" s="21" t="s">
        <v>59</v>
      </c>
      <c r="I4" s="21" t="s">
        <v>60</v>
      </c>
      <c r="J4" s="21" t="s">
        <v>61</v>
      </c>
      <c r="K4" s="21" t="s">
        <v>62</v>
      </c>
      <c r="L4" s="21" t="s">
        <v>63</v>
      </c>
    </row>
    <row r="5" customFormat="false" ht="21.75" hidden="false" customHeight="true" outlineLevel="0" collapsed="false">
      <c r="B5" s="6" t="s">
        <v>846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true" outlineLevel="0" collapsed="false">
      <c r="B6" s="4" t="s">
        <v>847</v>
      </c>
      <c r="C6" s="25" t="n">
        <f aca="false">CashFlow!C30</f>
        <v>110.078215995209</v>
      </c>
      <c r="D6" s="25" t="n">
        <f aca="false">CashFlow!D30</f>
        <v>142.344849209989</v>
      </c>
      <c r="E6" s="25" t="n">
        <f aca="false">CashFlow!E30</f>
        <v>238.217757257345</v>
      </c>
      <c r="F6" s="25" t="n">
        <f aca="false">CashFlow!F30</f>
        <v>241.210468331885</v>
      </c>
      <c r="G6" s="25" t="n">
        <f aca="false">CashFlow!G30</f>
        <v>470.745262131247</v>
      </c>
      <c r="H6" s="25" t="n">
        <f aca="false">CashFlow!H30</f>
        <v>1006.71914859299</v>
      </c>
      <c r="I6" s="25" t="n">
        <f aca="false">CashFlow!I30</f>
        <v>1877.55396021622</v>
      </c>
      <c r="J6" s="25" t="n">
        <f aca="false">CashFlow!J30</f>
        <v>2884.38451803389</v>
      </c>
      <c r="K6" s="25" t="n">
        <f aca="false">CashFlow!K30</f>
        <v>4242.37070307937</v>
      </c>
      <c r="L6" s="25" t="n">
        <f aca="false">CashFlow!L30</f>
        <v>5903.26547602577</v>
      </c>
    </row>
    <row r="7" customFormat="false" ht="15" hidden="false" customHeight="true" outlineLevel="0" collapsed="false">
      <c r="B7" s="4" t="s">
        <v>76</v>
      </c>
      <c r="C7" s="25" t="n">
        <f aca="false">Backlog!D63</f>
        <v>7.65099</v>
      </c>
      <c r="D7" s="25" t="n">
        <f aca="false">Backlog!E63</f>
        <v>20.3007222</v>
      </c>
      <c r="E7" s="25" t="n">
        <f aca="false">Backlog!F63</f>
        <v>38.334047274</v>
      </c>
      <c r="F7" s="25" t="n">
        <f aca="false">Backlog!G63</f>
        <v>68.28529086558</v>
      </c>
      <c r="G7" s="25" t="n">
        <f aca="false">Backlog!H63</f>
        <v>105.989328865939</v>
      </c>
      <c r="H7" s="25" t="n">
        <f aca="false">Backlog!I63</f>
        <v>143.597938355679</v>
      </c>
      <c r="I7" s="25" t="n">
        <f aca="false">Backlog!J63</f>
        <v>185.37943363093</v>
      </c>
      <c r="J7" s="25" t="n">
        <f aca="false">Backlog!K63</f>
        <v>225.304661950192</v>
      </c>
      <c r="K7" s="25" t="n">
        <f aca="false">Backlog!L63</f>
        <v>263.17484832073</v>
      </c>
      <c r="L7" s="25" t="n">
        <f aca="false">Backlog!M63</f>
        <v>300.235374830965</v>
      </c>
    </row>
    <row r="8" customFormat="false" ht="15" hidden="false" customHeight="true" outlineLevel="0" collapsed="false">
      <c r="B8" s="4" t="s">
        <v>848</v>
      </c>
      <c r="C8" s="25" t="n">
        <f aca="false">CashFlow!C8</f>
        <v>25.8904109589041</v>
      </c>
      <c r="D8" s="25" t="n">
        <f aca="false">CashFlow!D8</f>
        <v>100.310547945205</v>
      </c>
      <c r="E8" s="25" t="n">
        <f aca="false">CashFlow!E8</f>
        <v>242.149515780822</v>
      </c>
      <c r="F8" s="25" t="n">
        <f aca="false">CashFlow!F8</f>
        <v>421.744202970411</v>
      </c>
      <c r="G8" s="25" t="n">
        <f aca="false">CashFlow!G8</f>
        <v>713.935095880586</v>
      </c>
      <c r="H8" s="25" t="n">
        <f aca="false">CashFlow!H8</f>
        <v>1075.18063863725</v>
      </c>
      <c r="I8" s="25" t="n">
        <f aca="false">CashFlow!I8</f>
        <v>1422.17073766436</v>
      </c>
      <c r="J8" s="25" t="n">
        <f aca="false">CashFlow!J8</f>
        <v>1804.60798029419</v>
      </c>
      <c r="K8" s="25" t="n">
        <f aca="false">CashFlow!K8</f>
        <v>2160.32442272498</v>
      </c>
      <c r="L8" s="25" t="n">
        <f aca="false">CashFlow!L8</f>
        <v>2493.03450108945</v>
      </c>
    </row>
    <row r="9" customFormat="false" ht="15" hidden="false" customHeight="true" outlineLevel="0" collapsed="false">
      <c r="B9" s="4" t="s">
        <v>849</v>
      </c>
      <c r="C9" s="25" t="n">
        <f aca="false">CashFlow!C9</f>
        <v>6.28480682470675</v>
      </c>
      <c r="D9" s="25" t="n">
        <f aca="false">CashFlow!D9</f>
        <v>21.1259423566696</v>
      </c>
      <c r="E9" s="25" t="n">
        <f aca="false">CashFlow!E9</f>
        <v>44.2721581070977</v>
      </c>
      <c r="F9" s="25" t="n">
        <f aca="false">CashFlow!F9</f>
        <v>79.3836804654299</v>
      </c>
      <c r="G9" s="25" t="n">
        <f aca="false">CashFlow!G9</f>
        <v>130.422552589757</v>
      </c>
      <c r="H9" s="25" t="n">
        <f aca="false">CashFlow!H9</f>
        <v>190.222573374884</v>
      </c>
      <c r="I9" s="25" t="n">
        <f aca="false">CashFlow!I9</f>
        <v>246.184414037845</v>
      </c>
      <c r="J9" s="25" t="n">
        <f aca="false">CashFlow!J9</f>
        <v>307.886187078967</v>
      </c>
      <c r="K9" s="25" t="n">
        <f aca="false">CashFlow!K9</f>
        <v>363.720952128979</v>
      </c>
      <c r="L9" s="25" t="n">
        <f aca="false">CashFlow!L9</f>
        <v>413.746526427733</v>
      </c>
    </row>
    <row r="10" customFormat="false" ht="15" hidden="false" customHeight="true" outlineLevel="0" collapsed="false">
      <c r="B10" s="53" t="s">
        <v>850</v>
      </c>
      <c r="C10" s="55" t="n">
        <f aca="false">C6+C7+C8+C9</f>
        <v>149.90442377882</v>
      </c>
      <c r="D10" s="55" t="n">
        <f aca="false">D6+D7+D8+D9</f>
        <v>284.082061711863</v>
      </c>
      <c r="E10" s="55" t="n">
        <f aca="false">E6+E7+E8+E9</f>
        <v>562.973478419264</v>
      </c>
      <c r="F10" s="55" t="n">
        <f aca="false">F6+F7+F8+F9</f>
        <v>810.623642633306</v>
      </c>
      <c r="G10" s="55" t="n">
        <f aca="false">G6+G7+G8+G9</f>
        <v>1421.09223946753</v>
      </c>
      <c r="H10" s="55" t="n">
        <f aca="false">H6+H7+H8+H9</f>
        <v>2415.7202989608</v>
      </c>
      <c r="I10" s="55" t="n">
        <f aca="false">I6+I7+I8+I9</f>
        <v>3731.28854554936</v>
      </c>
      <c r="J10" s="55" t="n">
        <f aca="false">J6+J7+J8+J9</f>
        <v>5222.18334735724</v>
      </c>
      <c r="K10" s="55" t="n">
        <f aca="false">K6+K7+K8+K9</f>
        <v>7029.59092625406</v>
      </c>
      <c r="L10" s="55" t="n">
        <f aca="false">L6+L7+L8+L9</f>
        <v>9110.28187837392</v>
      </c>
    </row>
    <row r="11" customFormat="false" ht="15" hidden="false" customHeight="true" outlineLevel="0" collapsed="false">
      <c r="B11" s="1" t="s">
        <v>851</v>
      </c>
      <c r="C11" s="1" t="n">
        <f aca="false">'P&amp;L'!C38</f>
        <v>0</v>
      </c>
      <c r="D11" s="1" t="n">
        <f aca="false">'P&amp;L'!D38</f>
        <v>0</v>
      </c>
      <c r="E11" s="1" t="n">
        <f aca="false">'P&amp;L'!E38</f>
        <v>0</v>
      </c>
      <c r="F11" s="1" t="n">
        <f aca="false">'P&amp;L'!F38</f>
        <v>14.9232129008898</v>
      </c>
      <c r="G11" s="1" t="n">
        <f aca="false">'P&amp;L'!G38</f>
        <v>74.9423786668604</v>
      </c>
      <c r="H11" s="1" t="n">
        <f aca="false">'P&amp;L'!H38</f>
        <v>89.8105939162853</v>
      </c>
      <c r="I11" s="1" t="n">
        <f aca="false">'P&amp;L'!I38</f>
        <v>0</v>
      </c>
      <c r="J11" s="1" t="n">
        <f aca="false">'P&amp;L'!J38</f>
        <v>0</v>
      </c>
      <c r="K11" s="1" t="n">
        <f aca="false">'P&amp;L'!K38</f>
        <v>0</v>
      </c>
      <c r="L11" s="1" t="n">
        <f aca="false">'P&amp;L'!L38</f>
        <v>0</v>
      </c>
    </row>
    <row r="12" customFormat="false" ht="15" hidden="false" customHeight="true" outlineLevel="0" collapsed="false">
      <c r="B12" s="99" t="s">
        <v>852</v>
      </c>
      <c r="C12" s="25" t="n">
        <f aca="false">Capex!D21</f>
        <v>35.45</v>
      </c>
      <c r="D12" s="25" t="n">
        <f aca="false">C12+Capex!E21</f>
        <v>102.675</v>
      </c>
      <c r="E12" s="25" t="n">
        <f aca="false">D12+Capex!F21</f>
        <v>220.825</v>
      </c>
      <c r="F12" s="25" t="n">
        <f aca="false">E12+Capex!G21</f>
        <v>356.525</v>
      </c>
      <c r="G12" s="25" t="n">
        <f aca="false">F12+Capex!H21</f>
        <v>450.9</v>
      </c>
      <c r="H12" s="25" t="n">
        <f aca="false">G12+Capex!I21</f>
        <v>498</v>
      </c>
      <c r="I12" s="25" t="n">
        <f aca="false">H12+Capex!J21</f>
        <v>517.95</v>
      </c>
      <c r="J12" s="25" t="n">
        <f aca="false">I12+Capex!K21</f>
        <v>547.4</v>
      </c>
      <c r="K12" s="25" t="n">
        <f aca="false">J12+Capex!L21</f>
        <v>577.325</v>
      </c>
      <c r="L12" s="25" t="n">
        <f aca="false">K12+Capex!M21</f>
        <v>600.125</v>
      </c>
    </row>
    <row r="13" customFormat="false" ht="15" hidden="false" customHeight="true" outlineLevel="0" collapsed="false">
      <c r="B13" s="99" t="s">
        <v>853</v>
      </c>
      <c r="C13" s="25" t="n">
        <f aca="false">Capex!D39</f>
        <v>5.39702380952381</v>
      </c>
      <c r="D13" s="25" t="n">
        <f aca="false">C13+Capex!E39</f>
        <v>19.5114285714286</v>
      </c>
      <c r="E13" s="25" t="n">
        <f aca="false">D13+Capex!F39</f>
        <v>46.2446428571429</v>
      </c>
      <c r="F13" s="25" t="n">
        <f aca="false">E13+Capex!G39</f>
        <v>84.9121428571429</v>
      </c>
      <c r="G13" s="25" t="n">
        <f aca="false">F13+Capex!H39</f>
        <v>131.277380952381</v>
      </c>
      <c r="H13" s="25" t="n">
        <f aca="false">G13+Capex!I39</f>
        <v>180.887857142857</v>
      </c>
      <c r="I13" s="25" t="n">
        <f aca="false">H13+Capex!J39</f>
        <v>229.611666666667</v>
      </c>
      <c r="J13" s="25" t="n">
        <f aca="false">I13+Capex!K39</f>
        <v>276.874761904762</v>
      </c>
      <c r="K13" s="25" t="n">
        <f aca="false">J13+Capex!L39</f>
        <v>322.955833333333</v>
      </c>
      <c r="L13" s="25" t="n">
        <f aca="false">K13+Capex!M39</f>
        <v>367.060238095238</v>
      </c>
    </row>
    <row r="14" customFormat="false" ht="15" hidden="false" customHeight="true" outlineLevel="0" collapsed="false">
      <c r="B14" s="4" t="s">
        <v>854</v>
      </c>
      <c r="C14" s="25" t="n">
        <f aca="false">C12-C13</f>
        <v>30.0529761904762</v>
      </c>
      <c r="D14" s="25" t="n">
        <f aca="false">D12-D13</f>
        <v>83.1635714285714</v>
      </c>
      <c r="E14" s="25" t="n">
        <f aca="false">E12-E13</f>
        <v>174.580357142857</v>
      </c>
      <c r="F14" s="25" t="n">
        <f aca="false">F12-F13</f>
        <v>271.612857142857</v>
      </c>
      <c r="G14" s="25" t="n">
        <f aca="false">G12-G13</f>
        <v>319.622619047619</v>
      </c>
      <c r="H14" s="25" t="n">
        <f aca="false">H12-H13</f>
        <v>317.112142857143</v>
      </c>
      <c r="I14" s="25" t="n">
        <f aca="false">I12-I13</f>
        <v>288.338333333333</v>
      </c>
      <c r="J14" s="25" t="n">
        <f aca="false">J12-J13</f>
        <v>270.525238095238</v>
      </c>
      <c r="K14" s="25" t="n">
        <f aca="false">K12-K13</f>
        <v>254.369166666667</v>
      </c>
      <c r="L14" s="25" t="n">
        <f aca="false">L12-L13</f>
        <v>233.064761904762</v>
      </c>
    </row>
    <row r="15" customFormat="false" ht="15" hidden="false" customHeight="true" outlineLevel="0" collapsed="false">
      <c r="B15" s="1" t="s">
        <v>855</v>
      </c>
      <c r="C15" s="1" t="n">
        <f aca="false">'R&amp;D_NRE'!D16-'R&amp;D_NRE'!D18</f>
        <v>21.875</v>
      </c>
      <c r="D15" s="1" t="n">
        <f aca="false">C15+'R&amp;D_NRE'!E16-'R&amp;D_NRE'!E18</f>
        <v>91.7083333333333</v>
      </c>
      <c r="E15" s="1" t="n">
        <f aca="false">D15+'R&amp;D_NRE'!F16-'R&amp;D_NRE'!F18</f>
        <v>121.833333333333</v>
      </c>
      <c r="F15" s="1" t="n">
        <f aca="false">E15+'R&amp;D_NRE'!G16-'R&amp;D_NRE'!G18</f>
        <v>128.865</v>
      </c>
      <c r="G15" s="1" t="n">
        <f aca="false">F15+'R&amp;D_NRE'!H16-'R&amp;D_NRE'!H18</f>
        <v>114.215</v>
      </c>
      <c r="H15" s="1" t="n">
        <f aca="false">G15+'R&amp;D_NRE'!I16-'R&amp;D_NRE'!I18</f>
        <v>85.7666666666667</v>
      </c>
      <c r="I15" s="1" t="n">
        <f aca="false">H15+'R&amp;D_NRE'!J16-'R&amp;D_NRE'!J18</f>
        <v>54.0341666666667</v>
      </c>
      <c r="J15" s="1" t="n">
        <f aca="false">I15+'R&amp;D_NRE'!K16-'R&amp;D_NRE'!K18</f>
        <v>34.0375</v>
      </c>
      <c r="K15" s="1" t="n">
        <f aca="false">J15+'R&amp;D_NRE'!L16-'R&amp;D_NRE'!L18</f>
        <v>21.9198333333333</v>
      </c>
      <c r="L15" s="1" t="n">
        <f aca="false">K15+'R&amp;D_NRE'!M16-'R&amp;D_NRE'!M18</f>
        <v>13.732</v>
      </c>
    </row>
    <row r="16" customFormat="false" ht="15" hidden="false" customHeight="true" outlineLevel="0" collapsed="false">
      <c r="B16" s="116" t="s">
        <v>856</v>
      </c>
      <c r="C16" s="85" t="n">
        <f aca="false">C10+C11+C14+C15</f>
        <v>201.832399969297</v>
      </c>
      <c r="D16" s="85" t="n">
        <f aca="false">D10+D11+D14+D15</f>
        <v>458.953966473768</v>
      </c>
      <c r="E16" s="85" t="n">
        <f aca="false">E10+E11+E14+E15</f>
        <v>859.387168895455</v>
      </c>
      <c r="F16" s="85" t="n">
        <f aca="false">F10+F11+F14+F15</f>
        <v>1226.02471267705</v>
      </c>
      <c r="G16" s="85" t="n">
        <f aca="false">G10+G11+G14+G15</f>
        <v>1929.87223718201</v>
      </c>
      <c r="H16" s="85" t="n">
        <f aca="false">H10+H11+H14+H15</f>
        <v>2908.4097024009</v>
      </c>
      <c r="I16" s="85" t="n">
        <f aca="false">I10+I11+I14+I15</f>
        <v>4073.66104554936</v>
      </c>
      <c r="J16" s="85" t="n">
        <f aca="false">J10+J11+J14+J15</f>
        <v>5526.74608545247</v>
      </c>
      <c r="K16" s="85" t="n">
        <f aca="false">K10+K11+K14+K15</f>
        <v>7305.87992625406</v>
      </c>
      <c r="L16" s="85" t="n">
        <f aca="false">L10+L11+L14+L15</f>
        <v>9357.07864027868</v>
      </c>
    </row>
    <row r="18" customFormat="false" ht="21.75" hidden="false" customHeight="true" outlineLevel="0" collapsed="false">
      <c r="B18" s="6" t="s">
        <v>857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customFormat="false" ht="15" hidden="false" customHeight="true" outlineLevel="0" collapsed="false">
      <c r="B19" s="4" t="s">
        <v>858</v>
      </c>
      <c r="C19" s="25" t="n">
        <f aca="false">CashFlow!C10</f>
        <v>3.14240341235338</v>
      </c>
      <c r="D19" s="25" t="n">
        <f aca="false">CashFlow!D10</f>
        <v>10.5629711783348</v>
      </c>
      <c r="E19" s="25" t="n">
        <f aca="false">CashFlow!E10</f>
        <v>22.1360790535489</v>
      </c>
      <c r="F19" s="25" t="n">
        <f aca="false">CashFlow!F10</f>
        <v>39.691840232715</v>
      </c>
      <c r="G19" s="25" t="n">
        <f aca="false">CashFlow!G10</f>
        <v>65.2112762948785</v>
      </c>
      <c r="H19" s="25" t="n">
        <f aca="false">CashFlow!H10</f>
        <v>95.1112866874421</v>
      </c>
      <c r="I19" s="25" t="n">
        <f aca="false">CashFlow!I10</f>
        <v>123.092207018922</v>
      </c>
      <c r="J19" s="25" t="n">
        <f aca="false">CashFlow!J10</f>
        <v>153.943093539484</v>
      </c>
      <c r="K19" s="25" t="n">
        <f aca="false">CashFlow!K10</f>
        <v>181.860476064489</v>
      </c>
      <c r="L19" s="25" t="n">
        <f aca="false">CashFlow!L10</f>
        <v>206.873263213866</v>
      </c>
    </row>
    <row r="20" customFormat="false" ht="15" hidden="false" customHeight="true" outlineLevel="0" collapsed="false">
      <c r="B20" s="4" t="s">
        <v>859</v>
      </c>
      <c r="C20" s="25" t="n">
        <f aca="false">Backlog!D56</f>
        <v>63.75825</v>
      </c>
      <c r="D20" s="25" t="n">
        <f aca="false">Backlog!E56</f>
        <v>169.172685</v>
      </c>
      <c r="E20" s="25" t="n">
        <f aca="false">Backlog!F56</f>
        <v>319.45039395</v>
      </c>
      <c r="F20" s="25" t="n">
        <f aca="false">Backlog!G56</f>
        <v>569.0440905465</v>
      </c>
      <c r="G20" s="25" t="n">
        <f aca="false">Backlog!H56</f>
        <v>883.244407216155</v>
      </c>
      <c r="H20" s="25" t="n">
        <f aca="false">Backlog!I56</f>
        <v>1196.64948629732</v>
      </c>
      <c r="I20" s="25" t="n">
        <f aca="false">Backlog!J56</f>
        <v>1544.82861359108</v>
      </c>
      <c r="J20" s="25" t="n">
        <f aca="false">Backlog!K56</f>
        <v>1877.53884958493</v>
      </c>
      <c r="K20" s="25" t="n">
        <f aca="false">Backlog!L56</f>
        <v>2193.12373600608</v>
      </c>
      <c r="L20" s="25" t="n">
        <f aca="false">Backlog!M56</f>
        <v>2501.96145692471</v>
      </c>
    </row>
    <row r="21" customFormat="false" ht="15" hidden="false" customHeight="true" outlineLevel="0" collapsed="false">
      <c r="B21" s="4" t="s">
        <v>860</v>
      </c>
      <c r="C21" s="25" t="n">
        <f aca="false">Funding!D16</f>
        <v>20</v>
      </c>
      <c r="D21" s="25" t="n">
        <f aca="false">Funding!E16</f>
        <v>120</v>
      </c>
      <c r="E21" s="25" t="n">
        <f aca="false">Funding!F16</f>
        <v>200</v>
      </c>
      <c r="F21" s="25" t="n">
        <f aca="false">Funding!G16</f>
        <v>200</v>
      </c>
      <c r="G21" s="25" t="n">
        <f aca="false">Funding!H16</f>
        <v>164</v>
      </c>
      <c r="H21" s="25" t="n">
        <f aca="false">Funding!I16</f>
        <v>128</v>
      </c>
      <c r="I21" s="25" t="n">
        <f aca="false">Funding!J16</f>
        <v>73</v>
      </c>
      <c r="J21" s="25" t="n">
        <f aca="false">Funding!K16</f>
        <v>8</v>
      </c>
      <c r="K21" s="25" t="n">
        <f aca="false">Funding!L16</f>
        <v>0</v>
      </c>
      <c r="L21" s="25" t="n">
        <f aca="false">Funding!M16</f>
        <v>0</v>
      </c>
    </row>
    <row r="22" customFormat="false" ht="15" hidden="false" customHeight="true" outlineLevel="0" collapsed="false">
      <c r="B22" s="53" t="s">
        <v>861</v>
      </c>
      <c r="C22" s="55" t="n">
        <f aca="false">C19+C20+C21</f>
        <v>86.9006534123534</v>
      </c>
      <c r="D22" s="55" t="n">
        <f aca="false">D19+D20+D21</f>
        <v>299.735656178335</v>
      </c>
      <c r="E22" s="55" t="n">
        <f aca="false">E19+E20+E21</f>
        <v>541.586473003549</v>
      </c>
      <c r="F22" s="55" t="n">
        <f aca="false">F19+F20+F21</f>
        <v>808.735930779215</v>
      </c>
      <c r="G22" s="55" t="n">
        <f aca="false">G19+G20+G21</f>
        <v>1112.45568351103</v>
      </c>
      <c r="H22" s="55" t="n">
        <f aca="false">H19+H20+H21</f>
        <v>1419.76077298477</v>
      </c>
      <c r="I22" s="55" t="n">
        <f aca="false">I19+I20+I21</f>
        <v>1740.92082061</v>
      </c>
      <c r="J22" s="55" t="n">
        <f aca="false">J19+J20+J21</f>
        <v>2039.48194312441</v>
      </c>
      <c r="K22" s="55" t="n">
        <f aca="false">K19+K20+K21</f>
        <v>2374.98421207057</v>
      </c>
      <c r="L22" s="55" t="n">
        <f aca="false">L19+L20+L21</f>
        <v>2708.83472013858</v>
      </c>
    </row>
    <row r="24" customFormat="false" ht="21.75" hidden="false" customHeight="true" outlineLevel="0" collapsed="false">
      <c r="B24" s="6" t="s">
        <v>862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customFormat="false" ht="15" hidden="false" customHeight="true" outlineLevel="0" collapsed="false">
      <c r="B25" s="4" t="s">
        <v>863</v>
      </c>
      <c r="C25" s="25" t="n">
        <f aca="false">Funding!D9</f>
        <v>450</v>
      </c>
      <c r="D25" s="25" t="n">
        <f aca="false">C25+Funding!E9</f>
        <v>850</v>
      </c>
      <c r="E25" s="25" t="n">
        <f aca="false">D25+Funding!F9</f>
        <v>1100</v>
      </c>
      <c r="F25" s="25" t="n">
        <f aca="false">E25+Funding!G9</f>
        <v>1100</v>
      </c>
      <c r="G25" s="25" t="n">
        <f aca="false">F25+Funding!H9</f>
        <v>1100</v>
      </c>
      <c r="H25" s="25" t="n">
        <f aca="false">G25+Funding!I9</f>
        <v>1100</v>
      </c>
      <c r="I25" s="25" t="n">
        <f aca="false">H25+Funding!J9</f>
        <v>1100</v>
      </c>
      <c r="J25" s="25" t="n">
        <f aca="false">I25+Funding!K9</f>
        <v>1100</v>
      </c>
      <c r="K25" s="25" t="n">
        <f aca="false">J25+Funding!L9</f>
        <v>1100</v>
      </c>
      <c r="L25" s="25" t="n">
        <f aca="false">K25+Funding!M9</f>
        <v>1100</v>
      </c>
    </row>
    <row r="26" customFormat="false" ht="15" hidden="false" customHeight="true" outlineLevel="0" collapsed="false">
      <c r="B26" s="4" t="s">
        <v>864</v>
      </c>
      <c r="C26" s="25" t="n">
        <f aca="false">'P&amp;L'!C24</f>
        <v>-335.068253443057</v>
      </c>
      <c r="D26" s="25" t="n">
        <f aca="false">C26+'P&amp;L'!D24</f>
        <v>-690.781689704566</v>
      </c>
      <c r="E26" s="25" t="n">
        <f aca="false">D26+'P&amp;L'!E24</f>
        <v>-782.199304108095</v>
      </c>
      <c r="F26" s="25" t="n">
        <f aca="false">E26+'P&amp;L'!F24</f>
        <v>-682.711218102163</v>
      </c>
      <c r="G26" s="25" t="n">
        <f aca="false">F26+'P&amp;L'!G24</f>
        <v>-282.583446329025</v>
      </c>
      <c r="H26" s="25" t="n">
        <f aca="false">G26+'P&amp;L'!H24</f>
        <v>388.648929416134</v>
      </c>
      <c r="I26" s="25" t="n">
        <f aca="false">H26+'P&amp;L'!I24</f>
        <v>1232.74022493935</v>
      </c>
      <c r="J26" s="25" t="n">
        <f aca="false">I26+'P&amp;L'!J24</f>
        <v>2387.26414232806</v>
      </c>
      <c r="K26" s="25" t="n">
        <f aca="false">J26+'P&amp;L'!K24</f>
        <v>3830.89571418349</v>
      </c>
      <c r="L26" s="25" t="n">
        <f aca="false">K26+'P&amp;L'!L24</f>
        <v>5548.2439201401</v>
      </c>
    </row>
    <row r="27" customFormat="false" ht="15" hidden="false" customHeight="true" outlineLevel="0" collapsed="false">
      <c r="B27" s="53" t="s">
        <v>865</v>
      </c>
      <c r="C27" s="55" t="n">
        <f aca="false">C25+C26</f>
        <v>114.931746556943</v>
      </c>
      <c r="D27" s="55" t="n">
        <f aca="false">D25+D26</f>
        <v>159.218310295434</v>
      </c>
      <c r="E27" s="55" t="n">
        <f aca="false">E25+E26</f>
        <v>317.800695891905</v>
      </c>
      <c r="F27" s="55" t="n">
        <f aca="false">F25+F26</f>
        <v>417.288781897837</v>
      </c>
      <c r="G27" s="55" t="n">
        <f aca="false">G25+G26</f>
        <v>817.416553670975</v>
      </c>
      <c r="H27" s="55" t="n">
        <f aca="false">H25+H26</f>
        <v>1488.64892941613</v>
      </c>
      <c r="I27" s="55" t="n">
        <f aca="false">I25+I26</f>
        <v>2332.74022493935</v>
      </c>
      <c r="J27" s="55" t="n">
        <f aca="false">J25+J26</f>
        <v>3487.26414232806</v>
      </c>
      <c r="K27" s="55" t="n">
        <f aca="false">K25+K26</f>
        <v>4930.89571418349</v>
      </c>
      <c r="L27" s="55" t="n">
        <f aca="false">L25+L26</f>
        <v>6648.2439201401</v>
      </c>
    </row>
    <row r="29" customFormat="false" ht="15" hidden="false" customHeight="true" outlineLevel="0" collapsed="false">
      <c r="B29" s="116" t="s">
        <v>866</v>
      </c>
      <c r="C29" s="85" t="n">
        <f aca="false">C22+C27</f>
        <v>201.832399969297</v>
      </c>
      <c r="D29" s="85" t="n">
        <f aca="false">D22+D27</f>
        <v>458.953966473769</v>
      </c>
      <c r="E29" s="85" t="n">
        <f aca="false">E22+E27</f>
        <v>859.387168895454</v>
      </c>
      <c r="F29" s="85" t="n">
        <f aca="false">F22+F27</f>
        <v>1226.02471267705</v>
      </c>
      <c r="G29" s="85" t="n">
        <f aca="false">G22+G27</f>
        <v>1929.872237182</v>
      </c>
      <c r="H29" s="85" t="n">
        <f aca="false">H22+H27</f>
        <v>2908.4097024009</v>
      </c>
      <c r="I29" s="85" t="n">
        <f aca="false">I22+I27</f>
        <v>4073.66104554935</v>
      </c>
      <c r="J29" s="85" t="n">
        <f aca="false">J22+J27</f>
        <v>5526.74608545247</v>
      </c>
      <c r="K29" s="85" t="n">
        <f aca="false">K22+K27</f>
        <v>7305.87992625406</v>
      </c>
      <c r="L29" s="85" t="n">
        <f aca="false">L22+L27</f>
        <v>9357.07864027867</v>
      </c>
    </row>
    <row r="31" customFormat="false" ht="21.75" hidden="false" customHeight="true" outlineLevel="0" collapsed="false">
      <c r="B31" s="6" t="s">
        <v>867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customFormat="false" ht="15" hidden="false" customHeight="true" outlineLevel="0" collapsed="false">
      <c r="B32" s="4" t="s">
        <v>868</v>
      </c>
      <c r="C32" s="25" t="n">
        <f aca="false">C16-C29</f>
        <v>0</v>
      </c>
      <c r="D32" s="25" t="n">
        <f aca="false">D16-D29</f>
        <v>0</v>
      </c>
      <c r="E32" s="25" t="n">
        <f aca="false">E16-E29</f>
        <v>0</v>
      </c>
      <c r="F32" s="25" t="n">
        <f aca="false">F16-F29</f>
        <v>0</v>
      </c>
      <c r="G32" s="25" t="n">
        <f aca="false">G16-G29</f>
        <v>0</v>
      </c>
      <c r="H32" s="25" t="n">
        <f aca="false">H16-H29</f>
        <v>0</v>
      </c>
      <c r="I32" s="25" t="n">
        <f aca="false">I16-I29</f>
        <v>0</v>
      </c>
      <c r="J32" s="25" t="n">
        <f aca="false">J16-J29</f>
        <v>0</v>
      </c>
      <c r="K32" s="25" t="n">
        <f aca="false">K16-K29</f>
        <v>0</v>
      </c>
      <c r="L32" s="25" t="n">
        <f aca="false">L16-L29</f>
        <v>0</v>
      </c>
    </row>
    <row r="33" customFormat="false" ht="23.25" hidden="false" customHeight="true" outlineLevel="0" collapsed="false">
      <c r="B33" s="22" t="s">
        <v>869</v>
      </c>
      <c r="C33" s="27" t="n">
        <f aca="false">IFERROR(C10/(C19+C20),0)</f>
        <v>2.24070193836313</v>
      </c>
      <c r="D33" s="27" t="n">
        <f aca="false">IFERROR(D10/(D19+D20),0)</f>
        <v>1.58055484232909</v>
      </c>
      <c r="E33" s="27" t="n">
        <f aca="false">IFERROR(E10/(E19+E20),0)</f>
        <v>1.64811408797624</v>
      </c>
      <c r="F33" s="27" t="n">
        <f aca="false">IFERROR(F10/(F19+F20),0)</f>
        <v>1.33165072348475</v>
      </c>
      <c r="G33" s="27" t="n">
        <f aca="false">IFERROR(G10/(G19+G20),0)</f>
        <v>1.49832223494815</v>
      </c>
      <c r="H33" s="27" t="n">
        <f aca="false">IFERROR(H10/(H19+H20),0)</f>
        <v>1.87009882130033</v>
      </c>
      <c r="I33" s="27" t="n">
        <f aca="false">IFERROR(I10/(I19+I20),0)</f>
        <v>2.23708973438243</v>
      </c>
      <c r="J33" s="27" t="n">
        <f aca="false">IFERROR(J10/(J19+J20),0)</f>
        <v>2.57062749931488</v>
      </c>
      <c r="K33" s="27" t="n">
        <f aca="false">IFERROR(K10/(K19+K20),0)</f>
        <v>2.95984743415431</v>
      </c>
      <c r="L33" s="27" t="n">
        <f aca="false">IFERROR(L10/(L19+L20),0)</f>
        <v>3.36317377012499</v>
      </c>
    </row>
    <row r="34" customFormat="false" ht="15" hidden="false" customHeight="true" outlineLevel="0" collapsed="false">
      <c r="B34" s="22" t="s">
        <v>870</v>
      </c>
      <c r="C34" s="27" t="n">
        <f aca="false">IFERROR(C21/C27,0)</f>
        <v>0.174016323593333</v>
      </c>
      <c r="D34" s="27" t="n">
        <f aca="false">IFERROR(D21/D27,0)</f>
        <v>0.75368215990571</v>
      </c>
      <c r="E34" s="27" t="n">
        <f aca="false">IFERROR(E21/E27,0)</f>
        <v>0.629325242472178</v>
      </c>
      <c r="F34" s="27" t="n">
        <f aca="false">IFERROR(F21/F27,0)</f>
        <v>0.47928439171165</v>
      </c>
      <c r="G34" s="27" t="n">
        <f aca="false">IFERROR(G21/G27,0)</f>
        <v>0.200632100320803</v>
      </c>
      <c r="H34" s="27" t="n">
        <f aca="false">IFERROR(H21/H27,0)</f>
        <v>0.0859840070218592</v>
      </c>
      <c r="I34" s="27" t="n">
        <f aca="false">IFERROR(I21/I27,0)</f>
        <v>0.0312936688018478</v>
      </c>
      <c r="J34" s="27" t="n">
        <f aca="false">IFERROR(J21/J27,0)</f>
        <v>0.00229406195616122</v>
      </c>
      <c r="K34" s="27" t="n">
        <f aca="false">IFERROR(K21/K27,0)</f>
        <v>0</v>
      </c>
      <c r="L34" s="27" t="n">
        <f aca="false">IFERROR(L21/L27,0)</f>
        <v>0</v>
      </c>
    </row>
    <row r="35" customFormat="false" ht="15" hidden="false" customHeight="true" outlineLevel="0" collapsed="false">
      <c r="B35" s="22" t="s">
        <v>871</v>
      </c>
      <c r="C35" s="24" t="n">
        <f aca="false">IFERROR('P&amp;L'!C20*(1-Assumptions!$C$6)/(C21+C27),0)</f>
        <v>-1.85798521459509</v>
      </c>
      <c r="D35" s="24" t="n">
        <f aca="false">IFERROR('P&amp;L'!D20*(1-Assumptions!$C$6)/(D21+D27),0)</f>
        <v>-0.940429289606035</v>
      </c>
      <c r="E35" s="24" t="n">
        <f aca="false">IFERROR('P&amp;L'!E20*(1-Assumptions!$C$6)/(E21+E27),0)</f>
        <v>-0.113872405484282</v>
      </c>
      <c r="F35" s="24" t="n">
        <f aca="false">IFERROR('P&amp;L'!F20*(1-Assumptions!$C$6)/(F21+F27),0)</f>
        <v>0.140316926282299</v>
      </c>
      <c r="G35" s="24" t="n">
        <f aca="false">IFERROR('P&amp;L'!G20*(1-Assumptions!$C$6)/(G21+G27),0)</f>
        <v>0.316905016189612</v>
      </c>
      <c r="H35" s="24" t="n">
        <f aca="false">IFERROR('P&amp;L'!H20*(1-Assumptions!$C$6)/(H21+H27),0)</f>
        <v>0.3636564728426</v>
      </c>
      <c r="I35" s="24" t="n">
        <f aca="false">IFERROR('P&amp;L'!I20*(1-Assumptions!$C$6)/(I21+I27),0)</f>
        <v>0.356669606979219</v>
      </c>
      <c r="J35" s="24" t="n">
        <f aca="false">IFERROR('P&amp;L'!J20*(1-Assumptions!$C$6)/(J21+J27),0)</f>
        <v>0.332436415887426</v>
      </c>
      <c r="K35" s="24" t="n">
        <f aca="false">IFERROR('P&amp;L'!K20*(1-Assumptions!$C$6)/(K21+K27),0)</f>
        <v>0.293435731029587</v>
      </c>
      <c r="L35" s="24" t="n">
        <f aca="false">IFERROR('P&amp;L'!L20*(1-Assumptions!$C$6)/(L21+L27),0)</f>
        <v>0.258623959190371</v>
      </c>
    </row>
    <row r="36" customFormat="false" ht="46.5" hidden="false" customHeight="true" outlineLevel="0" collapsed="false">
      <c r="B36" s="125" t="s">
        <v>872</v>
      </c>
      <c r="C36" s="126" t="n">
        <f aca="false">Assumptions!$C$11+Assumptions!$C$13-Assumptions!$C$12</f>
        <v>225</v>
      </c>
      <c r="D36" s="126" t="n">
        <f aca="false">Assumptions!$C$11+Assumptions!$C$13-Assumptions!$C$12</f>
        <v>225</v>
      </c>
      <c r="E36" s="126" t="n">
        <f aca="false">Assumptions!$C$11+Assumptions!$C$13-Assumptions!$C$12</f>
        <v>225</v>
      </c>
      <c r="F36" s="126" t="n">
        <f aca="false">Assumptions!$C$11+Assumptions!$C$13-Assumptions!$C$12</f>
        <v>225</v>
      </c>
      <c r="G36" s="126" t="n">
        <f aca="false">Assumptions!$C$11+Assumptions!$C$13-Assumptions!$C$12</f>
        <v>225</v>
      </c>
      <c r="H36" s="126" t="n">
        <f aca="false">Assumptions!$C$11+Assumptions!$C$13-Assumptions!$C$12</f>
        <v>225</v>
      </c>
      <c r="I36" s="126" t="n">
        <f aca="false">Assumptions!$C$11+Assumptions!$C$13-Assumptions!$C$12</f>
        <v>225</v>
      </c>
      <c r="J36" s="126" t="n">
        <f aca="false">Assumptions!$C$11+Assumptions!$C$13-Assumptions!$C$12</f>
        <v>225</v>
      </c>
      <c r="K36" s="126" t="n">
        <f aca="false">Assumptions!$C$11+Assumptions!$C$13-Assumptions!$C$12</f>
        <v>225</v>
      </c>
      <c r="L36" s="126" t="n">
        <f aca="false">Assumptions!$C$11+Assumptions!$C$13-Assumptions!$C$12</f>
        <v>225</v>
      </c>
    </row>
    <row r="37" customFormat="false" ht="15" hidden="false" customHeight="true" outlineLevel="0" collapsed="false">
      <c r="B37" s="1" t="s">
        <v>873</v>
      </c>
      <c r="C37" s="119" t="n">
        <f aca="false">'R&amp;D_NRE'!D16</f>
        <v>26.25</v>
      </c>
      <c r="D37" s="1" t="n">
        <f aca="false">C37+'R&amp;D_NRE'!E16</f>
        <v>115.3</v>
      </c>
      <c r="E37" s="1" t="n">
        <f aca="false">D37+'R&amp;D_NRE'!F16</f>
        <v>174.51</v>
      </c>
      <c r="F37" s="1" t="n">
        <f aca="false">E37+'R&amp;D_NRE'!G16</f>
        <v>217.85</v>
      </c>
      <c r="G37" s="1" t="n">
        <f aca="false">F37+'R&amp;D_NRE'!H16</f>
        <v>243.84</v>
      </c>
      <c r="H37" s="1" t="n">
        <f aca="false">G37+'R&amp;D_NRE'!I16</f>
        <v>258.47</v>
      </c>
      <c r="I37" s="1" t="n">
        <f aca="false">H37+'R&amp;D_NRE'!J16</f>
        <v>266.835</v>
      </c>
      <c r="J37" s="1" t="n">
        <f aca="false">I37+'R&amp;D_NRE'!K16</f>
        <v>273.146</v>
      </c>
      <c r="K37" s="1" t="n">
        <f aca="false">J37+'R&amp;D_NRE'!L16</f>
        <v>278.332</v>
      </c>
      <c r="L37" s="1" t="n">
        <f aca="false">K37+'R&amp;D_NRE'!M16</f>
        <v>280.603</v>
      </c>
    </row>
    <row r="38" customFormat="false" ht="15" hidden="false" customHeight="true" outlineLevel="0" collapsed="false">
      <c r="B38" s="1" t="s">
        <v>874</v>
      </c>
      <c r="C38" s="119" t="n">
        <f aca="false">'R&amp;D_NRE'!D18</f>
        <v>4.375</v>
      </c>
      <c r="D38" s="1" t="n">
        <f aca="false">C38+'R&amp;D_NRE'!E18</f>
        <v>23.5916666666667</v>
      </c>
      <c r="E38" s="1" t="n">
        <f aca="false">D38+'R&amp;D_NRE'!F18</f>
        <v>52.6766666666667</v>
      </c>
      <c r="F38" s="1" t="n">
        <f aca="false">E38+'R&amp;D_NRE'!G18</f>
        <v>88.985</v>
      </c>
      <c r="G38" s="1" t="n">
        <f aca="false">F38+'R&amp;D_NRE'!H18</f>
        <v>129.625</v>
      </c>
      <c r="H38" s="1" t="n">
        <f aca="false">G38+'R&amp;D_NRE'!I18</f>
        <v>172.703333333333</v>
      </c>
      <c r="I38" s="1" t="n">
        <f aca="false">H38+'R&amp;D_NRE'!J18</f>
        <v>212.800833333333</v>
      </c>
      <c r="J38" s="1" t="n">
        <f aca="false">I38+'R&amp;D_NRE'!K18</f>
        <v>239.1085</v>
      </c>
      <c r="K38" s="1" t="n">
        <f aca="false">J38+'R&amp;D_NRE'!L18</f>
        <v>256.412166666667</v>
      </c>
      <c r="L38" s="1" t="n">
        <f aca="false">K38+'R&amp;D_NRE'!M18</f>
        <v>266.871</v>
      </c>
    </row>
    <row r="39" customFormat="false" ht="15" hidden="false" customHeight="true" outlineLevel="0" collapsed="false">
      <c r="B39" s="1" t="s">
        <v>875</v>
      </c>
      <c r="C39" s="1" t="n">
        <f aca="false">C37-C38</f>
        <v>21.875</v>
      </c>
      <c r="D39" s="1" t="n">
        <f aca="false">D37-D38</f>
        <v>91.7083333333333</v>
      </c>
      <c r="E39" s="1" t="n">
        <f aca="false">E37-E38</f>
        <v>121.833333333333</v>
      </c>
      <c r="F39" s="1" t="n">
        <f aca="false">F37-F38</f>
        <v>128.865</v>
      </c>
      <c r="G39" s="1" t="n">
        <f aca="false">G37-G38</f>
        <v>114.215</v>
      </c>
      <c r="H39" s="1" t="n">
        <f aca="false">H37-H38</f>
        <v>85.7666666666667</v>
      </c>
      <c r="I39" s="1" t="n">
        <f aca="false">I37-I38</f>
        <v>54.0341666666666</v>
      </c>
      <c r="J39" s="1" t="n">
        <f aca="false">J37-J38</f>
        <v>34.0375</v>
      </c>
      <c r="K39" s="1" t="n">
        <f aca="false">K37-K38</f>
        <v>21.9198333333333</v>
      </c>
      <c r="L39" s="1" t="n">
        <f aca="false">L37-L38</f>
        <v>13.732</v>
      </c>
    </row>
    <row r="40" customFormat="false" ht="15" hidden="false" customHeight="true" outlineLevel="0" collapsed="false">
      <c r="B40" s="1" t="s">
        <v>876</v>
      </c>
      <c r="C40" s="1" t="n">
        <f aca="false">'P&amp;L'!C38</f>
        <v>0</v>
      </c>
      <c r="D40" s="1" t="n">
        <f aca="false">'P&amp;L'!D38</f>
        <v>0</v>
      </c>
      <c r="E40" s="1" t="n">
        <f aca="false">'P&amp;L'!E38</f>
        <v>0</v>
      </c>
      <c r="F40" s="1" t="n">
        <f aca="false">'P&amp;L'!F38</f>
        <v>14.9232129008898</v>
      </c>
      <c r="G40" s="1" t="n">
        <f aca="false">'P&amp;L'!G38</f>
        <v>74.9423786668604</v>
      </c>
      <c r="H40" s="1" t="n">
        <f aca="false">'P&amp;L'!H38</f>
        <v>89.8105939162853</v>
      </c>
      <c r="I40" s="1" t="n">
        <f aca="false">'P&amp;L'!I38</f>
        <v>0</v>
      </c>
      <c r="J40" s="1" t="n">
        <f aca="false">'P&amp;L'!J38</f>
        <v>0</v>
      </c>
      <c r="K40" s="1" t="n">
        <f aca="false">'P&amp;L'!K38</f>
        <v>0</v>
      </c>
      <c r="L40" s="1" t="n">
        <f aca="false">'P&amp;L'!L38</f>
        <v>0</v>
      </c>
    </row>
  </sheetData>
  <mergeCells count="6">
    <mergeCell ref="B2:M2"/>
    <mergeCell ref="B3:M3"/>
    <mergeCell ref="B5:M5"/>
    <mergeCell ref="B18:M18"/>
    <mergeCell ref="B24:M24"/>
    <mergeCell ref="B31:M31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B19" activeCellId="0" sqref="B1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13" min="4" style="1" width="13"/>
  </cols>
  <sheetData>
    <row r="2" customFormat="false" ht="24" hidden="false" customHeight="true" outlineLevel="0" collapsed="false">
      <c r="B2" s="19" t="s">
        <v>877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true" outlineLevel="0" collapsed="false">
      <c r="B4" s="20" t="s">
        <v>878</v>
      </c>
      <c r="C4" s="20" t="s">
        <v>879</v>
      </c>
      <c r="D4" s="21" t="s">
        <v>30</v>
      </c>
      <c r="E4" s="21" t="s">
        <v>25</v>
      </c>
      <c r="F4" s="21" t="s">
        <v>44</v>
      </c>
      <c r="G4" s="21" t="s">
        <v>39</v>
      </c>
      <c r="H4" s="21" t="s">
        <v>58</v>
      </c>
      <c r="I4" s="21" t="s">
        <v>59</v>
      </c>
      <c r="J4" s="21" t="s">
        <v>60</v>
      </c>
      <c r="K4" s="21" t="s">
        <v>61</v>
      </c>
      <c r="L4" s="21" t="s">
        <v>62</v>
      </c>
      <c r="M4" s="21" t="s">
        <v>63</v>
      </c>
    </row>
    <row r="5" customFormat="false" ht="21.75" hidden="false" customHeight="true" outlineLevel="0" collapsed="false">
      <c r="B5" s="6" t="s">
        <v>880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84.75" hidden="false" customHeight="true" outlineLevel="0" collapsed="false">
      <c r="B6" s="22" t="s">
        <v>881</v>
      </c>
      <c r="C6" s="54" t="s">
        <v>882</v>
      </c>
      <c r="D6" s="52" t="n">
        <v>450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0</v>
      </c>
      <c r="J6" s="52" t="n">
        <v>0</v>
      </c>
      <c r="K6" s="52" t="n">
        <v>0</v>
      </c>
      <c r="L6" s="52" t="n">
        <v>0</v>
      </c>
      <c r="M6" s="52" t="n">
        <v>0</v>
      </c>
    </row>
    <row r="7" customFormat="false" ht="63" hidden="false" customHeight="true" outlineLevel="0" collapsed="false">
      <c r="B7" s="22" t="s">
        <v>883</v>
      </c>
      <c r="C7" s="54" t="s">
        <v>884</v>
      </c>
      <c r="D7" s="52" t="n">
        <v>0</v>
      </c>
      <c r="E7" s="52" t="n">
        <v>400</v>
      </c>
      <c r="F7" s="52" t="n">
        <v>0</v>
      </c>
      <c r="G7" s="52" t="n">
        <v>0</v>
      </c>
      <c r="H7" s="52" t="n">
        <v>0</v>
      </c>
      <c r="I7" s="52" t="n">
        <v>0</v>
      </c>
      <c r="J7" s="52" t="n">
        <v>0</v>
      </c>
      <c r="K7" s="52" t="n">
        <v>0</v>
      </c>
      <c r="L7" s="52" t="n">
        <v>0</v>
      </c>
      <c r="M7" s="52" t="n">
        <v>0</v>
      </c>
    </row>
    <row r="8" customFormat="false" ht="23.25" hidden="false" customHeight="true" outlineLevel="0" collapsed="false">
      <c r="B8" s="22" t="s">
        <v>885</v>
      </c>
      <c r="C8" s="54" t="s">
        <v>886</v>
      </c>
      <c r="D8" s="52" t="n">
        <v>0</v>
      </c>
      <c r="E8" s="52" t="n">
        <v>0</v>
      </c>
      <c r="F8" s="52" t="n">
        <v>250</v>
      </c>
      <c r="G8" s="52" t="n">
        <v>0</v>
      </c>
      <c r="H8" s="52" t="n">
        <v>0</v>
      </c>
      <c r="I8" s="52" t="n">
        <v>0</v>
      </c>
      <c r="J8" s="52" t="n">
        <v>0</v>
      </c>
      <c r="K8" s="52" t="n">
        <v>0</v>
      </c>
      <c r="L8" s="52" t="n">
        <v>0</v>
      </c>
      <c r="M8" s="52" t="n">
        <v>0</v>
      </c>
    </row>
    <row r="9" customFormat="false" ht="15" hidden="false" customHeight="true" outlineLevel="0" collapsed="false">
      <c r="B9" s="53" t="s">
        <v>95</v>
      </c>
      <c r="D9" s="55" t="n">
        <f aca="false">SUM(D6:D8)</f>
        <v>450</v>
      </c>
      <c r="E9" s="55" t="n">
        <f aca="false">SUM(E6:E8)</f>
        <v>400</v>
      </c>
      <c r="F9" s="55" t="n">
        <f aca="false">SUM(F6:F8)</f>
        <v>250</v>
      </c>
      <c r="G9" s="55" t="n">
        <f aca="false">SUM(G6:G8)</f>
        <v>0</v>
      </c>
      <c r="H9" s="55" t="n">
        <f aca="false">SUM(H6:H8)</f>
        <v>0</v>
      </c>
      <c r="I9" s="55" t="n">
        <f aca="false">SUM(I6:I8)</f>
        <v>0</v>
      </c>
      <c r="J9" s="55" t="n">
        <f aca="false">SUM(J6:J8)</f>
        <v>0</v>
      </c>
      <c r="K9" s="55" t="n">
        <f aca="false">SUM(K6:K8)</f>
        <v>0</v>
      </c>
      <c r="L9" s="55" t="n">
        <f aca="false">SUM(L6:L8)</f>
        <v>0</v>
      </c>
      <c r="M9" s="55" t="n">
        <f aca="false">SUM(M6:M8)</f>
        <v>0</v>
      </c>
    </row>
    <row r="10" customFormat="false" ht="15" hidden="false" customHeight="true" outlineLevel="0" collapsed="false">
      <c r="B10" s="1" t="s">
        <v>887</v>
      </c>
      <c r="C10" s="1" t="s">
        <v>888</v>
      </c>
      <c r="D10" s="1" t="n">
        <v>1.5</v>
      </c>
      <c r="E10" s="1" t="n">
        <v>25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</row>
    <row r="11" customFormat="false" ht="21.75" hidden="false" customHeight="true" outlineLevel="0" collapsed="false">
      <c r="B11" s="6" t="s">
        <v>889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customFormat="false" ht="15" hidden="false" customHeight="true" outlineLevel="0" collapsed="false">
      <c r="B12" s="22" t="s">
        <v>890</v>
      </c>
      <c r="D12" s="88" t="n">
        <v>0.08</v>
      </c>
      <c r="E12" s="24" t="n">
        <f aca="false">D12</f>
        <v>0.08</v>
      </c>
      <c r="F12" s="24" t="n">
        <f aca="false">D12</f>
        <v>0.08</v>
      </c>
      <c r="G12" s="24" t="n">
        <f aca="false">D12</f>
        <v>0.08</v>
      </c>
      <c r="H12" s="24" t="n">
        <f aca="false">D12</f>
        <v>0.08</v>
      </c>
      <c r="I12" s="24" t="n">
        <f aca="false">D12</f>
        <v>0.08</v>
      </c>
      <c r="J12" s="24" t="n">
        <f aca="false">D12</f>
        <v>0.08</v>
      </c>
      <c r="K12" s="24" t="n">
        <f aca="false">D12</f>
        <v>0.08</v>
      </c>
      <c r="L12" s="24" t="n">
        <f aca="false">D12</f>
        <v>0.08</v>
      </c>
      <c r="M12" s="24" t="n">
        <f aca="false">D12</f>
        <v>0.08</v>
      </c>
    </row>
    <row r="13" customFormat="false" ht="38.25" hidden="false" customHeight="true" outlineLevel="0" collapsed="false">
      <c r="B13" s="22" t="s">
        <v>891</v>
      </c>
      <c r="C13" s="1" t="s">
        <v>892</v>
      </c>
      <c r="D13" s="52" t="n">
        <v>20</v>
      </c>
      <c r="E13" s="52" t="n">
        <v>100</v>
      </c>
      <c r="F13" s="52" t="n">
        <v>80</v>
      </c>
      <c r="G13" s="52" t="n">
        <v>0</v>
      </c>
      <c r="H13" s="52" t="n">
        <v>0</v>
      </c>
      <c r="I13" s="52" t="n">
        <v>0</v>
      </c>
      <c r="J13" s="52" t="n">
        <v>0</v>
      </c>
      <c r="K13" s="52" t="n">
        <v>0</v>
      </c>
      <c r="L13" s="52" t="n">
        <v>0</v>
      </c>
      <c r="M13" s="52" t="n">
        <v>0</v>
      </c>
    </row>
    <row r="14" customFormat="false" ht="15" hidden="false" customHeight="true" outlineLevel="0" collapsed="false">
      <c r="B14" s="22" t="s">
        <v>893</v>
      </c>
      <c r="D14" s="52" t="n">
        <v>0</v>
      </c>
      <c r="E14" s="52" t="n">
        <v>0</v>
      </c>
      <c r="F14" s="52" t="n">
        <v>0</v>
      </c>
      <c r="G14" s="52" t="n">
        <v>0</v>
      </c>
      <c r="H14" s="52" t="n">
        <v>36</v>
      </c>
      <c r="I14" s="52" t="n">
        <v>36</v>
      </c>
      <c r="J14" s="52" t="n">
        <v>55</v>
      </c>
      <c r="K14" s="52" t="n">
        <v>65</v>
      </c>
      <c r="L14" s="52" t="n">
        <v>8</v>
      </c>
      <c r="M14" s="52" t="n">
        <v>0</v>
      </c>
    </row>
    <row r="15" customFormat="false" ht="15" hidden="false" customHeight="true" outlineLevel="0" collapsed="false">
      <c r="B15" s="54" t="s">
        <v>894</v>
      </c>
      <c r="D15" s="25" t="n">
        <f aca="false">0</f>
        <v>0</v>
      </c>
      <c r="E15" s="25" t="n">
        <f aca="false">D16</f>
        <v>20</v>
      </c>
      <c r="F15" s="25" t="n">
        <f aca="false">E16</f>
        <v>120</v>
      </c>
      <c r="G15" s="25" t="n">
        <f aca="false">F16</f>
        <v>200</v>
      </c>
      <c r="H15" s="25" t="n">
        <f aca="false">G16</f>
        <v>200</v>
      </c>
      <c r="I15" s="25" t="n">
        <f aca="false">H16</f>
        <v>164</v>
      </c>
      <c r="J15" s="25" t="n">
        <f aca="false">I16</f>
        <v>128</v>
      </c>
      <c r="K15" s="25" t="n">
        <f aca="false">J16</f>
        <v>73</v>
      </c>
      <c r="L15" s="25" t="n">
        <f aca="false">K16</f>
        <v>8</v>
      </c>
      <c r="M15" s="25" t="n">
        <f aca="false">L16</f>
        <v>0</v>
      </c>
    </row>
    <row r="16" customFormat="false" ht="15" hidden="false" customHeight="true" outlineLevel="0" collapsed="false">
      <c r="B16" s="53" t="s">
        <v>82</v>
      </c>
      <c r="D16" s="55" t="n">
        <f aca="false">MAX(0,D15+D13-D14)</f>
        <v>20</v>
      </c>
      <c r="E16" s="55" t="n">
        <f aca="false">MAX(0,E15+E13-E14)</f>
        <v>120</v>
      </c>
      <c r="F16" s="55" t="n">
        <f aca="false">MAX(0,F15+F13-F14)</f>
        <v>200</v>
      </c>
      <c r="G16" s="55" t="n">
        <f aca="false">MAX(0,G15+G13-G14)</f>
        <v>200</v>
      </c>
      <c r="H16" s="55" t="n">
        <f aca="false">MAX(0,H15+H13-H14)</f>
        <v>164</v>
      </c>
      <c r="I16" s="55" t="n">
        <f aca="false">MAX(0,I15+I13-I14)</f>
        <v>128</v>
      </c>
      <c r="J16" s="55" t="n">
        <f aca="false">MAX(0,J15+J13-J14)</f>
        <v>73</v>
      </c>
      <c r="K16" s="55" t="n">
        <f aca="false">MAX(0,K15+K13-K14)</f>
        <v>8</v>
      </c>
      <c r="L16" s="55" t="n">
        <f aca="false">MAX(0,L15+L13-L14)</f>
        <v>0</v>
      </c>
      <c r="M16" s="55" t="n">
        <f aca="false">MAX(0,M15+M13-M14)</f>
        <v>0</v>
      </c>
    </row>
    <row r="17" customFormat="false" ht="15" hidden="false" customHeight="true" outlineLevel="0" collapsed="false">
      <c r="B17" s="4" t="s">
        <v>895</v>
      </c>
      <c r="D17" s="25" t="n">
        <f aca="false">MAX(0,(D15+D16)/2)*D12</f>
        <v>0.8</v>
      </c>
      <c r="E17" s="25" t="n">
        <f aca="false">MAX(0,(E15+E16)/2)*E12</f>
        <v>5.6</v>
      </c>
      <c r="F17" s="25" t="n">
        <f aca="false">MAX(0,(F15+F16)/2)*F12</f>
        <v>12.8</v>
      </c>
      <c r="G17" s="25" t="n">
        <f aca="false">MAX(0,(G15+G16)/2)*G12</f>
        <v>16</v>
      </c>
      <c r="H17" s="25" t="n">
        <f aca="false">MAX(0,(H15+H16)/2)*H12</f>
        <v>14.56</v>
      </c>
      <c r="I17" s="25" t="n">
        <f aca="false">MAX(0,(I15+I16)/2)*I12</f>
        <v>11.68</v>
      </c>
      <c r="J17" s="25" t="n">
        <f aca="false">MAX(0,(J15+J16)/2)*J12</f>
        <v>8.04</v>
      </c>
      <c r="K17" s="25" t="n">
        <f aca="false">MAX(0,(K15+K16)/2)*K12</f>
        <v>3.24</v>
      </c>
      <c r="L17" s="25" t="n">
        <f aca="false">MAX(0,(L15+L16)/2)*L12</f>
        <v>0.32</v>
      </c>
      <c r="M17" s="25" t="n">
        <f aca="false">MAX(0,(M15+M16)/2)*M12</f>
        <v>0</v>
      </c>
    </row>
    <row r="19" customFormat="false" ht="21.75" hidden="false" customHeight="true" outlineLevel="0" collapsed="false">
      <c r="B19" s="6" t="s">
        <v>896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true" outlineLevel="0" collapsed="false">
      <c r="B20" s="54" t="s">
        <v>897</v>
      </c>
      <c r="D20" s="25" t="n">
        <f aca="false">D9</f>
        <v>450</v>
      </c>
      <c r="E20" s="25" t="n">
        <f aca="false">E9</f>
        <v>400</v>
      </c>
      <c r="F20" s="25" t="n">
        <f aca="false">F9</f>
        <v>250</v>
      </c>
      <c r="G20" s="25" t="n">
        <f aca="false">G9</f>
        <v>0</v>
      </c>
      <c r="H20" s="25" t="n">
        <f aca="false">H9</f>
        <v>0</v>
      </c>
      <c r="I20" s="25" t="n">
        <f aca="false">I9</f>
        <v>0</v>
      </c>
      <c r="J20" s="25" t="n">
        <f aca="false">J9</f>
        <v>0</v>
      </c>
      <c r="K20" s="25" t="n">
        <f aca="false">K9</f>
        <v>0</v>
      </c>
      <c r="L20" s="25" t="n">
        <f aca="false">L9</f>
        <v>0</v>
      </c>
      <c r="M20" s="25" t="n">
        <f aca="false">M9</f>
        <v>0</v>
      </c>
    </row>
    <row r="21" customFormat="false" ht="15" hidden="false" customHeight="true" outlineLevel="0" collapsed="false">
      <c r="B21" s="54" t="s">
        <v>832</v>
      </c>
      <c r="D21" s="25" t="n">
        <f aca="false">D13-D14</f>
        <v>20</v>
      </c>
      <c r="E21" s="25" t="n">
        <f aca="false">E13-E14</f>
        <v>100</v>
      </c>
      <c r="F21" s="25" t="n">
        <f aca="false">F13-F14</f>
        <v>80</v>
      </c>
      <c r="G21" s="25" t="n">
        <f aca="false">G13-G14</f>
        <v>0</v>
      </c>
      <c r="H21" s="25" t="n">
        <f aca="false">H13-H14</f>
        <v>-36</v>
      </c>
      <c r="I21" s="25" t="n">
        <f aca="false">I13-I14</f>
        <v>-36</v>
      </c>
      <c r="J21" s="25" t="n">
        <f aca="false">J13-J14</f>
        <v>-55</v>
      </c>
      <c r="K21" s="25" t="n">
        <f aca="false">K13-K14</f>
        <v>-65</v>
      </c>
      <c r="L21" s="25" t="n">
        <f aca="false">L13-L14</f>
        <v>-8</v>
      </c>
      <c r="M21" s="25" t="n">
        <f aca="false">M13-M14</f>
        <v>0</v>
      </c>
    </row>
    <row r="22" customFormat="false" ht="15" hidden="false" customHeight="true" outlineLevel="0" collapsed="false">
      <c r="B22" s="53" t="s">
        <v>898</v>
      </c>
      <c r="D22" s="55" t="n">
        <f aca="false">D20+D21+D10</f>
        <v>471.5</v>
      </c>
      <c r="E22" s="55" t="n">
        <f aca="false">E20+E21+E10</f>
        <v>525</v>
      </c>
      <c r="F22" s="55" t="n">
        <f aca="false">F20+F21+F10</f>
        <v>330</v>
      </c>
      <c r="G22" s="55" t="n">
        <f aca="false">G20+G21+G10</f>
        <v>0</v>
      </c>
      <c r="H22" s="55" t="n">
        <f aca="false">H20+H21+H10</f>
        <v>-36</v>
      </c>
      <c r="I22" s="55" t="n">
        <f aca="false">I20+I21+I10</f>
        <v>-36</v>
      </c>
      <c r="J22" s="55" t="n">
        <f aca="false">J20+J21+J10</f>
        <v>-55</v>
      </c>
      <c r="K22" s="55" t="n">
        <f aca="false">K20+K21+K10</f>
        <v>-65</v>
      </c>
      <c r="L22" s="55" t="n">
        <f aca="false">L20+L21+L10</f>
        <v>-8</v>
      </c>
      <c r="M22" s="55" t="n">
        <f aca="false">M20+M21+M10</f>
        <v>0</v>
      </c>
    </row>
    <row r="23" customFormat="false" ht="15" hidden="false" customHeight="true" outlineLevel="0" collapsed="false">
      <c r="B23" s="1" t="s">
        <v>899</v>
      </c>
    </row>
    <row r="24" customFormat="false" ht="15" hidden="false" customHeight="true" outlineLevel="0" collapsed="false">
      <c r="B24" s="1" t="s">
        <v>900</v>
      </c>
      <c r="D24" s="38" t="n">
        <f aca="false">Assumptions!$C$25</f>
        <v>100</v>
      </c>
      <c r="E24" s="38" t="n">
        <f aca="false">Assumptions!$C$25</f>
        <v>100</v>
      </c>
      <c r="F24" s="38" t="n">
        <f aca="false">Assumptions!$C$25</f>
        <v>100</v>
      </c>
      <c r="G24" s="38" t="n">
        <f aca="false">Assumptions!$C$25</f>
        <v>100</v>
      </c>
      <c r="H24" s="38" t="n">
        <f aca="false">Assumptions!$C$25</f>
        <v>100</v>
      </c>
      <c r="I24" s="38" t="n">
        <f aca="false">Assumptions!$C$25</f>
        <v>100</v>
      </c>
      <c r="J24" s="38" t="n">
        <f aca="false">Assumptions!$C$25</f>
        <v>100</v>
      </c>
      <c r="K24" s="38" t="n">
        <f aca="false">Assumptions!$C$25</f>
        <v>100</v>
      </c>
      <c r="L24" s="38" t="n">
        <f aca="false">Assumptions!$C$25</f>
        <v>100</v>
      </c>
      <c r="M24" s="38" t="n">
        <f aca="false">Assumptions!$C$25</f>
        <v>100</v>
      </c>
    </row>
    <row r="25" customFormat="false" ht="15" hidden="false" customHeight="true" outlineLevel="0" collapsed="false">
      <c r="B25" s="1" t="s">
        <v>901</v>
      </c>
      <c r="D25" s="38" t="n">
        <f aca="false">CashFlow!C30</f>
        <v>110.078215995209</v>
      </c>
      <c r="E25" s="38" t="n">
        <f aca="false">CashFlow!D30</f>
        <v>142.344849209989</v>
      </c>
      <c r="F25" s="38" t="n">
        <f aca="false">CashFlow!E30</f>
        <v>238.217757257345</v>
      </c>
      <c r="G25" s="38" t="n">
        <f aca="false">CashFlow!F30</f>
        <v>241.210468331885</v>
      </c>
      <c r="H25" s="38" t="n">
        <f aca="false">CashFlow!G30</f>
        <v>470.745262131247</v>
      </c>
      <c r="I25" s="38" t="n">
        <f aca="false">CashFlow!H30</f>
        <v>1006.71914859299</v>
      </c>
      <c r="J25" s="38" t="n">
        <f aca="false">CashFlow!I30</f>
        <v>1877.55396021622</v>
      </c>
      <c r="K25" s="38" t="n">
        <f aca="false">CashFlow!J30</f>
        <v>2884.38451803389</v>
      </c>
      <c r="L25" s="38" t="n">
        <f aca="false">CashFlow!K30</f>
        <v>4242.37070307937</v>
      </c>
      <c r="M25" s="38" t="n">
        <f aca="false">CashFlow!L30</f>
        <v>5903.26547602577</v>
      </c>
    </row>
    <row r="26" customFormat="false" ht="15" hidden="false" customHeight="true" outlineLevel="0" collapsed="false">
      <c r="B26" s="1" t="s">
        <v>902</v>
      </c>
      <c r="D26" s="1" t="n">
        <f aca="false">MAX(0,D24-D25)</f>
        <v>0</v>
      </c>
      <c r="E26" s="1" t="n">
        <f aca="false">MAX(0,E24-E25)</f>
        <v>0</v>
      </c>
      <c r="F26" s="1" t="n">
        <f aca="false">MAX(0,F24-F25)</f>
        <v>0</v>
      </c>
      <c r="G26" s="1" t="n">
        <f aca="false">MAX(0,G24-G25)</f>
        <v>0</v>
      </c>
      <c r="H26" s="1" t="n">
        <f aca="false">MAX(0,H24-H25)</f>
        <v>0</v>
      </c>
      <c r="I26" s="1" t="n">
        <f aca="false">MAX(0,I24-I25)</f>
        <v>0</v>
      </c>
      <c r="J26" s="1" t="n">
        <f aca="false">MAX(0,J24-J25)</f>
        <v>0</v>
      </c>
      <c r="K26" s="1" t="n">
        <f aca="false">MAX(0,K24-K25)</f>
        <v>0</v>
      </c>
      <c r="L26" s="1" t="n">
        <f aca="false">MAX(0,L24-L25)</f>
        <v>0</v>
      </c>
      <c r="M26" s="1" t="n">
        <f aca="false">MAX(0,M24-M25)</f>
        <v>0</v>
      </c>
    </row>
    <row r="27" customFormat="false" ht="15" hidden="false" customHeight="true" outlineLevel="0" collapsed="false">
      <c r="B27" s="1" t="s">
        <v>903</v>
      </c>
    </row>
    <row r="28" customFormat="false" ht="15" hidden="false" customHeight="true" outlineLevel="0" collapsed="false">
      <c r="B28" s="1" t="s">
        <v>904</v>
      </c>
      <c r="C28" s="1" t="s">
        <v>905</v>
      </c>
    </row>
  </sheetData>
  <mergeCells count="4">
    <mergeCell ref="B2:N2"/>
    <mergeCell ref="B5:N5"/>
    <mergeCell ref="B11:N11"/>
    <mergeCell ref="B19:N1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K3" activeCellId="0" sqref="K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1" width="40"/>
    <col collapsed="false" customWidth="true" hidden="false" outlineLevel="0" max="3" min="3" style="1" width="22.95"/>
    <col collapsed="false" customWidth="true" hidden="false" outlineLevel="0" max="4" min="4" style="1" width="12.66"/>
    <col collapsed="false" customWidth="true" hidden="false" outlineLevel="0" max="5" min="5" style="1" width="12.1"/>
    <col collapsed="false" customWidth="true" hidden="false" outlineLevel="0" max="16384" min="16378" style="0" width="11.53"/>
  </cols>
  <sheetData>
    <row r="2" customFormat="false" ht="24" hidden="false" customHeight="true" outlineLevel="0" collapsed="false">
      <c r="B2" s="127" t="s">
        <v>906</v>
      </c>
      <c r="C2" s="127"/>
      <c r="D2" s="127"/>
      <c r="E2" s="127"/>
      <c r="F2" s="127"/>
      <c r="G2" s="127"/>
    </row>
    <row r="4" customFormat="false" ht="15" hidden="false" customHeight="true" outlineLevel="0" collapsed="false">
      <c r="B4" s="22" t="s">
        <v>907</v>
      </c>
      <c r="C4" s="97" t="n">
        <v>6</v>
      </c>
    </row>
    <row r="6" customFormat="false" ht="21.75" hidden="false" customHeight="true" outlineLevel="0" collapsed="false">
      <c r="B6" s="6" t="s">
        <v>908</v>
      </c>
      <c r="C6" s="6"/>
      <c r="D6" s="6"/>
      <c r="E6" s="6"/>
      <c r="F6" s="6"/>
      <c r="G6" s="6"/>
    </row>
    <row r="7" customFormat="false" ht="34.5" hidden="false" customHeight="true" outlineLevel="0" collapsed="false">
      <c r="B7" s="20" t="s">
        <v>18</v>
      </c>
      <c r="C7" s="20" t="s">
        <v>909</v>
      </c>
      <c r="D7" s="20" t="s">
        <v>910</v>
      </c>
      <c r="E7" s="20" t="s">
        <v>911</v>
      </c>
      <c r="F7" s="20" t="s">
        <v>912</v>
      </c>
      <c r="G7" s="20" t="s">
        <v>913</v>
      </c>
    </row>
    <row r="8" customFormat="false" ht="15" hidden="false" customHeight="true" outlineLevel="0" collapsed="false">
      <c r="B8" s="72" t="s">
        <v>309</v>
      </c>
      <c r="C8" s="25" t="n">
        <f aca="false">INDEX(V1_AESA!$D$31:$M$31,$C$4)</f>
        <v>1403.49832101781</v>
      </c>
      <c r="D8" s="25" t="n">
        <f aca="false">INDEX(V1_AESA!$D$32:$M$32,$C$4)</f>
        <v>493.128122314939</v>
      </c>
      <c r="E8" s="25" t="n">
        <f aca="false">C8-D8</f>
        <v>910.370198702875</v>
      </c>
      <c r="F8" s="24" t="n">
        <f aca="false">IFERROR(E8/C8,0)</f>
        <v>0.64864359655427</v>
      </c>
      <c r="G8" s="26" t="n">
        <f aca="false">INDEX(V1_AESA!$D$33:$M$33,$C$4)</f>
        <v>59</v>
      </c>
    </row>
    <row r="9" customFormat="false" ht="15" hidden="false" customHeight="true" outlineLevel="0" collapsed="false">
      <c r="B9" s="72" t="s">
        <v>310</v>
      </c>
      <c r="C9" s="25" t="n">
        <f aca="false">INDEX(V2_EW_SIGINT!$D$39:$M$39,$C$4)</f>
        <v>1073.52074903775</v>
      </c>
      <c r="D9" s="25" t="n">
        <f aca="false">INDEX(V2_EW_SIGINT!$D$40:$M$40,$C$4)</f>
        <v>415.24683665731</v>
      </c>
      <c r="E9" s="25" t="n">
        <f aca="false">C9-D9</f>
        <v>658.273912380441</v>
      </c>
      <c r="F9" s="24" t="n">
        <f aca="false">IFERROR(E9/C9,0)</f>
        <v>0.613191606189712</v>
      </c>
      <c r="G9" s="26" t="n">
        <f aca="false">INDEX(V2_EW_SIGINT!$D$41:$M$41,$C$4)</f>
        <v>76</v>
      </c>
    </row>
    <row r="10" customFormat="false" ht="15" hidden="false" customHeight="true" outlineLevel="0" collapsed="false">
      <c r="B10" s="76" t="s">
        <v>311</v>
      </c>
      <c r="C10" s="25" t="n">
        <f aca="false">INDEX(V3_CUAS!$D$31:$M$31,$C$4)</f>
        <v>809.944204976099</v>
      </c>
      <c r="D10" s="25" t="n">
        <f aca="false">INDEX(V3_CUAS!$D$32:$M$32,$C$4)</f>
        <v>363.498311073989</v>
      </c>
      <c r="E10" s="25" t="n">
        <f aca="false">C10-D10</f>
        <v>446.44589390211</v>
      </c>
      <c r="F10" s="24" t="n">
        <f aca="false">IFERROR(E10/C10,0)</f>
        <v>0.551205738814174</v>
      </c>
      <c r="G10" s="26" t="n">
        <f aca="false">INDEX(V3_CUAS!$D$33:$M$33,$C$4)</f>
        <v>214</v>
      </c>
    </row>
    <row r="11" customFormat="false" ht="15" hidden="false" customHeight="true" outlineLevel="0" collapsed="false">
      <c r="B11" s="72" t="s">
        <v>312</v>
      </c>
      <c r="C11" s="25" t="n">
        <f aca="false">INDEX(V4_UAS_MALE!$D$31:$M$31,$C$4)</f>
        <v>973.450594398993</v>
      </c>
      <c r="D11" s="25" t="n">
        <f aca="false">INDEX(V4_UAS_MALE!$D$32:$M$32,$C$4)</f>
        <v>302.460804192245</v>
      </c>
      <c r="E11" s="25" t="n">
        <f aca="false">C11-D11</f>
        <v>670.989790206749</v>
      </c>
      <c r="F11" s="24" t="n">
        <f aca="false">IFERROR(E11/C11,0)</f>
        <v>0.689290030811494</v>
      </c>
      <c r="G11" s="26" t="n">
        <f aca="false">INDEX(V4_UAS_MALE!$D$33:$M$33,$C$4)</f>
        <v>6</v>
      </c>
    </row>
    <row r="12" customFormat="false" ht="15" hidden="false" customHeight="true" outlineLevel="0" collapsed="false">
      <c r="B12" s="77" t="s">
        <v>313</v>
      </c>
      <c r="C12" s="25" t="n">
        <f aca="false">INDEX(V5_Autonomous!$D$31:$M$31,$C$4)</f>
        <v>439.548744990245</v>
      </c>
      <c r="D12" s="25" t="n">
        <f aca="false">INDEX(V5_Autonomous!$D$32:$M$32,$C$4)</f>
        <v>120.929860352082</v>
      </c>
      <c r="E12" s="25" t="n">
        <f aca="false">C12-D12</f>
        <v>318.618884638163</v>
      </c>
      <c r="F12" s="24" t="n">
        <f aca="false">IFERROR(E12/C12,0)</f>
        <v>0.724877248017701</v>
      </c>
      <c r="G12" s="26" t="n">
        <f aca="false">INDEX(V5_Autonomous!$D$33:$M$33,$C$4)</f>
        <v>19</v>
      </c>
    </row>
    <row r="13" customFormat="false" ht="15" hidden="false" customHeight="true" outlineLevel="0" collapsed="false">
      <c r="B13" s="78" t="s">
        <v>314</v>
      </c>
      <c r="C13" s="25" t="n">
        <f aca="false">INDEX(V6_MilAI!$D$31:$M$31,$C$4)</f>
        <v>416.489361208663</v>
      </c>
      <c r="D13" s="25" t="n">
        <f aca="false">INDEX(V6_MilAI!$D$32:$M$32,$C$4)</f>
        <v>23.807</v>
      </c>
      <c r="E13" s="25" t="n">
        <f aca="false">C13-D13</f>
        <v>392.682361208663</v>
      </c>
      <c r="F13" s="24" t="n">
        <f aca="false">IFERROR(E13/C13,0)</f>
        <v>0.942838876049771</v>
      </c>
      <c r="G13" s="26" t="n">
        <f aca="false">INDEX(V6_MilAI!$D$33:$M$33,$C$4)</f>
        <v>80</v>
      </c>
    </row>
    <row r="14" customFormat="false" ht="33.75" hidden="false" customHeight="true" outlineLevel="0" collapsed="false">
      <c r="B14" s="53" t="s">
        <v>914</v>
      </c>
      <c r="C14" s="55" t="n">
        <f aca="false">SUM(C8:C13)</f>
        <v>5116.45197562957</v>
      </c>
      <c r="D14" s="55" t="n">
        <f aca="false">SUM(D8:D13)</f>
        <v>1719.07093459057</v>
      </c>
      <c r="E14" s="55" t="n">
        <f aca="false">SUM(E8:E13)</f>
        <v>3397.381041039</v>
      </c>
      <c r="F14" s="101" t="n">
        <f aca="false">IFERROR(E14/C14,0)</f>
        <v>0.664011126698978</v>
      </c>
      <c r="G14" s="100" t="n">
        <f aca="false">SUM(G8:G13)</f>
        <v>454</v>
      </c>
    </row>
    <row r="16" customFormat="false" ht="21.75" hidden="false" customHeight="true" outlineLevel="0" collapsed="false">
      <c r="B16" s="6" t="s">
        <v>915</v>
      </c>
      <c r="C16" s="6"/>
      <c r="D16" s="6"/>
      <c r="E16" s="6"/>
      <c r="F16" s="6"/>
      <c r="G16" s="6"/>
    </row>
    <row r="17" customFormat="false" ht="15" hidden="false" customHeight="true" outlineLevel="0" collapsed="false">
      <c r="B17" s="9" t="s">
        <v>916</v>
      </c>
      <c r="C17" s="25" t="n">
        <f aca="false">INDEX('R&amp;D_NRE'!$D$12:$M$12,$C$4)</f>
        <v>66.911876246688</v>
      </c>
    </row>
    <row r="18" customFormat="false" ht="15" hidden="false" customHeight="true" outlineLevel="0" collapsed="false">
      <c r="B18" s="9" t="s">
        <v>917</v>
      </c>
      <c r="C18" s="25" t="n">
        <f aca="false">INDEX('P&amp;L'!$C$13:$L$13,$C$4)</f>
        <v>174.418192490043</v>
      </c>
    </row>
    <row r="19" customFormat="false" ht="15" hidden="false" customHeight="true" outlineLevel="0" collapsed="false">
      <c r="B19" s="9" t="s">
        <v>918</v>
      </c>
      <c r="C19" s="25" t="n">
        <f aca="false">INDEX('P&amp;L'!$C$14:$L$14,$C$4)</f>
        <v>152.615918428788</v>
      </c>
    </row>
    <row r="20" customFormat="false" ht="15" hidden="false" customHeight="true" outlineLevel="0" collapsed="false">
      <c r="B20" s="9" t="s">
        <v>919</v>
      </c>
      <c r="C20" s="25" t="n">
        <f aca="false">INDEX('P&amp;L'!$C$15:$L$15,$C$4)</f>
        <v>138.261265198645</v>
      </c>
    </row>
    <row r="21" customFormat="false" ht="15" hidden="false" customHeight="true" outlineLevel="0" collapsed="false">
      <c r="B21" s="9" t="s">
        <v>920</v>
      </c>
      <c r="C21" s="25" t="n">
        <f aca="false">INDEX('P&amp;L'!$C$19:$L$19,$C$4)</f>
        <v>92.6888095238095</v>
      </c>
    </row>
    <row r="22" customFormat="false" ht="15" hidden="false" customHeight="true" outlineLevel="0" collapsed="false">
      <c r="B22" s="9" t="s">
        <v>921</v>
      </c>
      <c r="C22" s="25" t="n">
        <f aca="false">INDEX('P&amp;L'!$C$7:$L$7,$C$4)</f>
        <v>26.547366330368</v>
      </c>
    </row>
    <row r="23" customFormat="false" ht="15" hidden="false" customHeight="true" outlineLevel="0" collapsed="false">
      <c r="B23" s="53" t="s">
        <v>922</v>
      </c>
      <c r="C23" s="55" t="n">
        <f aca="false">C17+C18+C19+C20+C21+C22</f>
        <v>651.443428218342</v>
      </c>
    </row>
    <row r="25" customFormat="false" ht="21.75" hidden="false" customHeight="true" outlineLevel="0" collapsed="false">
      <c r="B25" s="6" t="s">
        <v>923</v>
      </c>
      <c r="C25" s="6"/>
      <c r="D25" s="6"/>
      <c r="E25" s="6"/>
      <c r="F25" s="6"/>
      <c r="G25" s="6"/>
    </row>
    <row r="26" customFormat="false" ht="15" hidden="false" customHeight="true" outlineLevel="0" collapsed="false">
      <c r="B26" s="54" t="s">
        <v>924</v>
      </c>
      <c r="C26" s="24" t="n">
        <f aca="false">F14</f>
        <v>0.664011126698978</v>
      </c>
    </row>
    <row r="27" customFormat="false" ht="15" hidden="false" customHeight="true" outlineLevel="0" collapsed="false">
      <c r="B27" s="53" t="s">
        <v>925</v>
      </c>
      <c r="C27" s="55" t="n">
        <f aca="false">IFERROR(C23/C26,0)</f>
        <v>981.073060412233</v>
      </c>
    </row>
    <row r="29" customFormat="false" ht="21.75" hidden="false" customHeight="true" outlineLevel="0" collapsed="false">
      <c r="B29" s="6" t="s">
        <v>926</v>
      </c>
      <c r="C29" s="6"/>
      <c r="D29" s="6"/>
      <c r="E29" s="6"/>
      <c r="F29" s="6"/>
      <c r="G29" s="6"/>
    </row>
    <row r="30" customFormat="false" ht="15" hidden="false" customHeight="true" outlineLevel="0" collapsed="false">
      <c r="B30" s="22" t="s">
        <v>927</v>
      </c>
      <c r="C30" s="128" t="n">
        <f aca="false">IFERROR(MATCH(TRUE(),INDEX('P&amp;L'!C16:L16&gt;0,0),0),"n/a")</f>
        <v>4</v>
      </c>
    </row>
    <row r="31" customFormat="false" ht="15" hidden="false" customHeight="true" outlineLevel="0" collapsed="false">
      <c r="B31" s="22" t="s">
        <v>928</v>
      </c>
      <c r="C31" s="128" t="n">
        <f aca="false">IFERROR(MATCH(TRUE(),INDEX(CashFlow!C27:L27&gt;0,0),0),"n/a")</f>
        <v>4</v>
      </c>
    </row>
    <row r="32" customFormat="false" ht="15" hidden="false" customHeight="true" outlineLevel="0" collapsed="false">
      <c r="B32" s="22" t="s">
        <v>929</v>
      </c>
      <c r="C32" s="129" t="n">
        <f aca="false">MIN(CashFlow!C28:L28)</f>
        <v>-1061.78224274266</v>
      </c>
    </row>
    <row r="33" customFormat="false" ht="15" hidden="false" customHeight="true" outlineLevel="0" collapsed="false">
      <c r="B33" s="22" t="s">
        <v>90</v>
      </c>
      <c r="C33" s="129" t="n">
        <f aca="false">SUM('P&amp;L'!C5:L5)</f>
        <v>21209.2335538353</v>
      </c>
    </row>
    <row r="34" customFormat="false" ht="15" hidden="false" customHeight="true" outlineLevel="0" collapsed="false">
      <c r="B34" s="22" t="s">
        <v>91</v>
      </c>
      <c r="C34" s="129" t="n">
        <f aca="false">SUM('P&amp;L'!C16:L16)</f>
        <v>8100.05246494869</v>
      </c>
    </row>
    <row r="35" customFormat="false" ht="15" hidden="false" customHeight="true" outlineLevel="0" collapsed="false">
      <c r="B35" s="22" t="s">
        <v>92</v>
      </c>
      <c r="C35" s="129" t="n">
        <f aca="false">SUM('P&amp;L'!C24:L24)</f>
        <v>5548.24392014009</v>
      </c>
    </row>
    <row r="36" customFormat="false" ht="28.35" hidden="false" customHeight="true" outlineLevel="0" collapsed="false">
      <c r="B36" s="130" t="s">
        <v>930</v>
      </c>
      <c r="C36" s="129" t="n">
        <f aca="false">SUM('R&amp;D_NRE'!D8:M8)-SUM('R&amp;D_NRE'!D6:M6)</f>
        <v>994.323732</v>
      </c>
    </row>
    <row r="37" customFormat="false" ht="15" hidden="false" customHeight="true" outlineLevel="0" collapsed="false">
      <c r="B37" s="22" t="s">
        <v>931</v>
      </c>
      <c r="C37" s="129" t="n">
        <f aca="false">SUM(Funding!D9:M9)</f>
        <v>1100</v>
      </c>
    </row>
    <row r="38" customFormat="false" ht="23.1" hidden="false" customHeight="true" outlineLevel="0" collapsed="false">
      <c r="B38" s="22" t="s">
        <v>932</v>
      </c>
      <c r="C38" s="129" t="n">
        <f aca="false">MAX(Funding!D16:M16)</f>
        <v>200</v>
      </c>
    </row>
    <row r="39" customFormat="false" ht="15" hidden="false" customHeight="true" outlineLevel="0" collapsed="false">
      <c r="B39" s="22" t="s">
        <v>933</v>
      </c>
      <c r="C39" s="129" t="n">
        <f aca="false">NPV(Assumptions!$C$7,CashFlow!C27:L27)</f>
        <v>747.152631257461</v>
      </c>
    </row>
    <row r="40" customFormat="false" ht="36.75" hidden="false" customHeight="true" outlineLevel="0" collapsed="false">
      <c r="B40" s="22" t="s">
        <v>934</v>
      </c>
      <c r="C40" s="131" t="n">
        <f aca="false">IFERROR(IRR(CashFlow!C27:L27),0)</f>
        <v>0.318968593472284</v>
      </c>
    </row>
  </sheetData>
  <mergeCells count="5">
    <mergeCell ref="B2:G2"/>
    <mergeCell ref="B6:G6"/>
    <mergeCell ref="B16:G16"/>
    <mergeCell ref="B25:G25"/>
    <mergeCell ref="B29:G2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2026-05-14T19:43:03Z</dcterms:created>
  <dc:creator>openpyxl</dc:creator>
  <dc:description/>
  <dc:language>en-IN</dc:language>
  <cp:lastModifiedBy/>
  <dcterms:modified xsi:type="dcterms:W3CDTF">2026-05-17T19:29:05Z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