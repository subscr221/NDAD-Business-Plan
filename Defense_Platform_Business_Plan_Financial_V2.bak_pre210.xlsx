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INCODE\NDAD-Business-Plan\NDAD-Business-Plan\"/>
    </mc:Choice>
  </mc:AlternateContent>
  <xr:revisionPtr revIDLastSave="0" documentId="13_ncr:1_{D4EDFC21-D5A9-47C6-BD4F-617BBB1D18DB}" xr6:coauthVersionLast="47" xr6:coauthVersionMax="47" xr10:uidLastSave="{00000000-0000-0000-0000-000000000000}"/>
  <bookViews>
    <workbookView xWindow="-120" yWindow="-120" windowWidth="29040" windowHeight="15720" tabRatio="500" firstSheet="1" activeTab="8" xr2:uid="{00000000-000D-0000-FFFF-FFFF00000000}"/>
  </bookViews>
  <sheets>
    <sheet name="Cover" sheetId="1" r:id="rId1"/>
    <sheet name="KPIs" sheetId="2" r:id="rId2"/>
    <sheet name="Strategy" sheetId="3" r:id="rId3"/>
    <sheet name="MarketPositioning" sheetId="4" r:id="rId4"/>
    <sheet name="Roadmap" sheetId="5" r:id="rId5"/>
    <sheet name="Platform" sheetId="6" r:id="rId6"/>
    <sheet name="R&amp;D_Buckets" sheetId="7" r:id="rId7"/>
    <sheet name="ReuseMatrix" sheetId="8" r:id="rId8"/>
    <sheet name="Assumptions" sheetId="9" r:id="rId9"/>
    <sheet name="V1_AESA" sheetId="10" r:id="rId10"/>
    <sheet name="V2_EW_SIGINT" sheetId="11" r:id="rId11"/>
    <sheet name="V3_CUAS" sheetId="12" r:id="rId12"/>
    <sheet name="V4_UAS_MALE" sheetId="13" r:id="rId13"/>
    <sheet name="V5_Autonomous" sheetId="14" r:id="rId14"/>
    <sheet name="V6_MilAI" sheetId="15" r:id="rId15"/>
    <sheet name="Revenue" sheetId="16" r:id="rId16"/>
    <sheet name="Backlog" sheetId="17" r:id="rId17"/>
    <sheet name="Headcount" sheetId="18" r:id="rId18"/>
    <sheet name="R&amp;D_NRE" sheetId="19" r:id="rId19"/>
    <sheet name="Capex" sheetId="20" r:id="rId20"/>
    <sheet name="Opex" sheetId="21" r:id="rId21"/>
    <sheet name="P&amp;L" sheetId="22" r:id="rId22"/>
    <sheet name="CashFlow" sheetId="23" r:id="rId23"/>
    <sheet name="BalanceSheet" sheetId="24" r:id="rId24"/>
    <sheet name="Funding" sheetId="25" r:id="rId25"/>
    <sheet name="BreakEven" sheetId="26" r:id="rId2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4" i="25" l="1"/>
  <c r="L24" i="25"/>
  <c r="K24" i="25"/>
  <c r="J24" i="25"/>
  <c r="I24" i="25"/>
  <c r="H24" i="25"/>
  <c r="G24" i="25"/>
  <c r="F24" i="25"/>
  <c r="E24" i="25"/>
  <c r="D24" i="25"/>
  <c r="L22" i="25"/>
  <c r="K22" i="25"/>
  <c r="H22" i="25"/>
  <c r="G22" i="25"/>
  <c r="M21" i="25"/>
  <c r="L21" i="25"/>
  <c r="K21" i="25"/>
  <c r="J21" i="25"/>
  <c r="I21" i="25"/>
  <c r="H21" i="25"/>
  <c r="G21" i="25"/>
  <c r="F21" i="25"/>
  <c r="E21" i="25"/>
  <c r="D21" i="25"/>
  <c r="I20" i="25"/>
  <c r="I22" i="25" s="1"/>
  <c r="H20" i="25"/>
  <c r="G20" i="25"/>
  <c r="E20" i="25"/>
  <c r="D15" i="25"/>
  <c r="D16" i="25" s="1"/>
  <c r="M12" i="25"/>
  <c r="L12" i="25"/>
  <c r="K12" i="25"/>
  <c r="J12" i="25"/>
  <c r="I12" i="25"/>
  <c r="H12" i="25"/>
  <c r="G12" i="25"/>
  <c r="F12" i="25"/>
  <c r="E12" i="25"/>
  <c r="M9" i="25"/>
  <c r="M20" i="25" s="1"/>
  <c r="M22" i="25" s="1"/>
  <c r="L9" i="25"/>
  <c r="L20" i="25" s="1"/>
  <c r="K9" i="25"/>
  <c r="K20" i="25" s="1"/>
  <c r="J9" i="25"/>
  <c r="J20" i="25" s="1"/>
  <c r="J22" i="25" s="1"/>
  <c r="I9" i="25"/>
  <c r="H9" i="25"/>
  <c r="G9" i="25"/>
  <c r="F9" i="25"/>
  <c r="E9" i="25"/>
  <c r="D22" i="23" s="1"/>
  <c r="D9" i="25"/>
  <c r="D20" i="25" s="1"/>
  <c r="D22" i="25" s="1"/>
  <c r="L36" i="24"/>
  <c r="K36" i="24"/>
  <c r="J36" i="24"/>
  <c r="I36" i="24"/>
  <c r="H36" i="24"/>
  <c r="G36" i="24"/>
  <c r="F36" i="24"/>
  <c r="E36" i="24"/>
  <c r="D36" i="24"/>
  <c r="C36" i="24"/>
  <c r="L33" i="23"/>
  <c r="K33" i="23"/>
  <c r="J33" i="23"/>
  <c r="I33" i="23"/>
  <c r="H33" i="23"/>
  <c r="G33" i="23"/>
  <c r="F33" i="23"/>
  <c r="E33" i="23"/>
  <c r="D33" i="23"/>
  <c r="C33" i="23"/>
  <c r="L24" i="23"/>
  <c r="F24" i="23"/>
  <c r="L23" i="23"/>
  <c r="K23" i="23"/>
  <c r="J23" i="23"/>
  <c r="I23" i="23"/>
  <c r="H23" i="23"/>
  <c r="G23" i="23"/>
  <c r="F23" i="23"/>
  <c r="E23" i="23"/>
  <c r="D23" i="23"/>
  <c r="D24" i="23" s="1"/>
  <c r="C23" i="23"/>
  <c r="L22" i="23"/>
  <c r="K22" i="23"/>
  <c r="K24" i="23" s="1"/>
  <c r="J22" i="23"/>
  <c r="I22" i="23"/>
  <c r="I24" i="23" s="1"/>
  <c r="H22" i="23"/>
  <c r="G22" i="23"/>
  <c r="G24" i="23" s="1"/>
  <c r="F22" i="23"/>
  <c r="G17" i="23"/>
  <c r="E17" i="23"/>
  <c r="M14" i="21"/>
  <c r="L14" i="21"/>
  <c r="K14" i="21"/>
  <c r="J14" i="21"/>
  <c r="I14" i="21"/>
  <c r="H14" i="21"/>
  <c r="G14" i="21"/>
  <c r="F14" i="21"/>
  <c r="E14" i="21"/>
  <c r="D14" i="21"/>
  <c r="M13" i="21"/>
  <c r="L13" i="21"/>
  <c r="K13" i="21"/>
  <c r="J13" i="21"/>
  <c r="I13" i="21"/>
  <c r="H13" i="21"/>
  <c r="G13" i="21"/>
  <c r="F13" i="21"/>
  <c r="E13" i="21"/>
  <c r="D13" i="21"/>
  <c r="M12" i="21"/>
  <c r="L12" i="21"/>
  <c r="K12" i="21"/>
  <c r="J12" i="21"/>
  <c r="I12" i="21"/>
  <c r="H12" i="21"/>
  <c r="G12" i="21"/>
  <c r="F12" i="21"/>
  <c r="E12" i="21"/>
  <c r="D12" i="21"/>
  <c r="M38" i="20"/>
  <c r="L38" i="20"/>
  <c r="K38" i="20"/>
  <c r="J38" i="20"/>
  <c r="I38" i="20"/>
  <c r="H38" i="20"/>
  <c r="G38" i="20"/>
  <c r="F38" i="20"/>
  <c r="E38" i="20"/>
  <c r="D38" i="20"/>
  <c r="M37" i="20"/>
  <c r="L37" i="20"/>
  <c r="K37" i="20"/>
  <c r="J37" i="20"/>
  <c r="I37" i="20"/>
  <c r="H37" i="20"/>
  <c r="G37" i="20"/>
  <c r="F37" i="20"/>
  <c r="E37" i="20"/>
  <c r="D37" i="20"/>
  <c r="M36" i="20"/>
  <c r="L36" i="20"/>
  <c r="K36" i="20"/>
  <c r="J36" i="20"/>
  <c r="I36" i="20"/>
  <c r="H36" i="20"/>
  <c r="G36" i="20"/>
  <c r="F36" i="20"/>
  <c r="E36" i="20"/>
  <c r="D36" i="20"/>
  <c r="M35" i="20"/>
  <c r="L35" i="20"/>
  <c r="K35" i="20"/>
  <c r="J35" i="20"/>
  <c r="I35" i="20"/>
  <c r="H35" i="20"/>
  <c r="G35" i="20"/>
  <c r="F35" i="20"/>
  <c r="E35" i="20"/>
  <c r="D35" i="20"/>
  <c r="M34" i="20"/>
  <c r="L34" i="20"/>
  <c r="K34" i="20"/>
  <c r="J34" i="20"/>
  <c r="I34" i="20"/>
  <c r="H34" i="20"/>
  <c r="G34" i="20"/>
  <c r="F34" i="20"/>
  <c r="E34" i="20"/>
  <c r="D34" i="20"/>
  <c r="M33" i="20"/>
  <c r="L33" i="20"/>
  <c r="K33" i="20"/>
  <c r="J33" i="20"/>
  <c r="I33" i="20"/>
  <c r="H33" i="20"/>
  <c r="G33" i="20"/>
  <c r="F33" i="20"/>
  <c r="E33" i="20"/>
  <c r="D33" i="20"/>
  <c r="M32" i="20"/>
  <c r="L32" i="20"/>
  <c r="K32" i="20"/>
  <c r="J32" i="20"/>
  <c r="I32" i="20"/>
  <c r="H32" i="20"/>
  <c r="G32" i="20"/>
  <c r="G39" i="20" s="1"/>
  <c r="F32" i="20"/>
  <c r="E32" i="20"/>
  <c r="D32" i="20"/>
  <c r="M31" i="20"/>
  <c r="L31" i="20"/>
  <c r="K31" i="20"/>
  <c r="J31" i="20"/>
  <c r="I31" i="20"/>
  <c r="H31" i="20"/>
  <c r="G31" i="20"/>
  <c r="F31" i="20"/>
  <c r="E31" i="20"/>
  <c r="D31" i="20"/>
  <c r="M30" i="20"/>
  <c r="L30" i="20"/>
  <c r="K30" i="20"/>
  <c r="J30" i="20"/>
  <c r="I30" i="20"/>
  <c r="H30" i="20"/>
  <c r="G30" i="20"/>
  <c r="F30" i="20"/>
  <c r="E30" i="20"/>
  <c r="D30" i="20"/>
  <c r="M29" i="20"/>
  <c r="L29" i="20"/>
  <c r="K29" i="20"/>
  <c r="J29" i="20"/>
  <c r="I29" i="20"/>
  <c r="H29" i="20"/>
  <c r="G29" i="20"/>
  <c r="F29" i="20"/>
  <c r="E29" i="20"/>
  <c r="D29" i="20"/>
  <c r="M28" i="20"/>
  <c r="L28" i="20"/>
  <c r="K28" i="20"/>
  <c r="J28" i="20"/>
  <c r="I28" i="20"/>
  <c r="H28" i="20"/>
  <c r="G28" i="20"/>
  <c r="F28" i="20"/>
  <c r="E28" i="20"/>
  <c r="D28" i="20"/>
  <c r="M27" i="20"/>
  <c r="L27" i="20"/>
  <c r="K27" i="20"/>
  <c r="J27" i="20"/>
  <c r="I27" i="20"/>
  <c r="H27" i="20"/>
  <c r="G27" i="20"/>
  <c r="F27" i="20"/>
  <c r="E27" i="20"/>
  <c r="D27" i="20"/>
  <c r="D39" i="20" s="1"/>
  <c r="M26" i="20"/>
  <c r="L26" i="20"/>
  <c r="K26" i="20"/>
  <c r="J26" i="20"/>
  <c r="I26" i="20"/>
  <c r="H26" i="20"/>
  <c r="G26" i="20"/>
  <c r="F26" i="20"/>
  <c r="E26" i="20"/>
  <c r="D26" i="20"/>
  <c r="M25" i="20"/>
  <c r="L25" i="20"/>
  <c r="K25" i="20"/>
  <c r="J25" i="20"/>
  <c r="I25" i="20"/>
  <c r="H25" i="20"/>
  <c r="G25" i="20"/>
  <c r="F25" i="20"/>
  <c r="E25" i="20"/>
  <c r="D25" i="20"/>
  <c r="M24" i="20"/>
  <c r="L24" i="20"/>
  <c r="K24" i="20"/>
  <c r="K39" i="20" s="1"/>
  <c r="J24" i="20"/>
  <c r="J39" i="20" s="1"/>
  <c r="I24" i="20"/>
  <c r="I39" i="20" s="1"/>
  <c r="H24" i="20"/>
  <c r="G24" i="20"/>
  <c r="F24" i="20"/>
  <c r="E24" i="20"/>
  <c r="D24" i="20"/>
  <c r="M21" i="20"/>
  <c r="L17" i="23" s="1"/>
  <c r="L21" i="20"/>
  <c r="K17" i="23" s="1"/>
  <c r="K21" i="20"/>
  <c r="J17" i="23" s="1"/>
  <c r="J21" i="20"/>
  <c r="I17" i="23" s="1"/>
  <c r="I21" i="20"/>
  <c r="H17" i="23" s="1"/>
  <c r="H21" i="20"/>
  <c r="G21" i="20"/>
  <c r="F17" i="23" s="1"/>
  <c r="F21" i="20"/>
  <c r="E21" i="20"/>
  <c r="D17" i="23" s="1"/>
  <c r="D21" i="20"/>
  <c r="C15" i="19"/>
  <c r="M8" i="19"/>
  <c r="L8" i="19"/>
  <c r="K8" i="19"/>
  <c r="J8" i="19"/>
  <c r="I8" i="19"/>
  <c r="H8" i="19"/>
  <c r="G8" i="19"/>
  <c r="F8" i="19"/>
  <c r="E8" i="19"/>
  <c r="D8" i="19"/>
  <c r="J70" i="18"/>
  <c r="F69" i="18"/>
  <c r="D68" i="18"/>
  <c r="C7" i="22" s="1"/>
  <c r="M64" i="18"/>
  <c r="L64" i="18"/>
  <c r="K64" i="18"/>
  <c r="J64" i="18"/>
  <c r="I64" i="18"/>
  <c r="H64" i="18"/>
  <c r="G64" i="18"/>
  <c r="F64" i="18"/>
  <c r="E64" i="18"/>
  <c r="D64" i="18"/>
  <c r="M63" i="18"/>
  <c r="L63" i="18"/>
  <c r="K63" i="18"/>
  <c r="J63" i="18"/>
  <c r="I63" i="18"/>
  <c r="H63" i="18"/>
  <c r="G63" i="18"/>
  <c r="F63" i="18"/>
  <c r="F70" i="18" s="1"/>
  <c r="E63" i="18"/>
  <c r="D63" i="18"/>
  <c r="M62" i="18"/>
  <c r="L62" i="18"/>
  <c r="K62" i="18"/>
  <c r="J62" i="18"/>
  <c r="I62" i="18"/>
  <c r="H62" i="18"/>
  <c r="G62" i="18"/>
  <c r="F62" i="18"/>
  <c r="E62" i="18"/>
  <c r="D62" i="18"/>
  <c r="M61" i="18"/>
  <c r="L61" i="18"/>
  <c r="K61" i="18"/>
  <c r="J61" i="18"/>
  <c r="I61" i="18"/>
  <c r="H61" i="18"/>
  <c r="H70" i="18" s="1"/>
  <c r="G61" i="18"/>
  <c r="F61" i="18"/>
  <c r="E61" i="18"/>
  <c r="D61" i="18"/>
  <c r="M60" i="18"/>
  <c r="M70" i="18" s="1"/>
  <c r="L60" i="18"/>
  <c r="K60" i="18"/>
  <c r="J60" i="18"/>
  <c r="I60" i="18"/>
  <c r="H60" i="18"/>
  <c r="G60" i="18"/>
  <c r="F60" i="18"/>
  <c r="E60" i="18"/>
  <c r="D60" i="18"/>
  <c r="M59" i="18"/>
  <c r="L59" i="18"/>
  <c r="K59" i="18"/>
  <c r="J59" i="18"/>
  <c r="I59" i="18"/>
  <c r="I70" i="18" s="1"/>
  <c r="H59" i="18"/>
  <c r="G59" i="18"/>
  <c r="G70" i="18" s="1"/>
  <c r="F59" i="18"/>
  <c r="E59" i="18"/>
  <c r="D59" i="18"/>
  <c r="D70" i="18" s="1"/>
  <c r="M58" i="18"/>
  <c r="L58" i="18"/>
  <c r="K58" i="18"/>
  <c r="J58" i="18"/>
  <c r="I58" i="18"/>
  <c r="I69" i="18" s="1"/>
  <c r="H58" i="18"/>
  <c r="G58" i="18"/>
  <c r="F58" i="18"/>
  <c r="E58" i="18"/>
  <c r="D58" i="18"/>
  <c r="M57" i="18"/>
  <c r="L57" i="18"/>
  <c r="K57" i="18"/>
  <c r="K69" i="18" s="1"/>
  <c r="J57" i="18"/>
  <c r="I57" i="18"/>
  <c r="H57" i="18"/>
  <c r="G57" i="18"/>
  <c r="F57" i="18"/>
  <c r="E57" i="18"/>
  <c r="D57" i="18"/>
  <c r="M56" i="18"/>
  <c r="M69" i="18" s="1"/>
  <c r="L56" i="18"/>
  <c r="L69" i="18" s="1"/>
  <c r="K56" i="18"/>
  <c r="J56" i="18"/>
  <c r="J69" i="18" s="1"/>
  <c r="I56" i="18"/>
  <c r="H56" i="18"/>
  <c r="G56" i="18"/>
  <c r="F56" i="18"/>
  <c r="E56" i="18"/>
  <c r="E69" i="18" s="1"/>
  <c r="D56" i="18"/>
  <c r="D69" i="18" s="1"/>
  <c r="M55" i="18"/>
  <c r="L55" i="18"/>
  <c r="K55" i="18"/>
  <c r="J55" i="18"/>
  <c r="I55" i="18"/>
  <c r="H55" i="18"/>
  <c r="G55" i="18"/>
  <c r="F55" i="18"/>
  <c r="E55" i="18"/>
  <c r="D55" i="18"/>
  <c r="M54" i="18"/>
  <c r="L54" i="18"/>
  <c r="K54" i="18"/>
  <c r="J54" i="18"/>
  <c r="I54" i="18"/>
  <c r="H54" i="18"/>
  <c r="G54" i="18"/>
  <c r="F54" i="18"/>
  <c r="F68" i="18" s="1"/>
  <c r="E7" i="22" s="1"/>
  <c r="E54" i="18"/>
  <c r="D54" i="18"/>
  <c r="M53" i="18"/>
  <c r="L53" i="18"/>
  <c r="K53" i="18"/>
  <c r="K68" i="18" s="1"/>
  <c r="J7" i="22" s="1"/>
  <c r="J53" i="18"/>
  <c r="J68" i="18" s="1"/>
  <c r="I7" i="22" s="1"/>
  <c r="I53" i="18"/>
  <c r="H53" i="18"/>
  <c r="H68" i="18" s="1"/>
  <c r="G7" i="22" s="1"/>
  <c r="G53" i="18"/>
  <c r="F53" i="18"/>
  <c r="E53" i="18"/>
  <c r="D53" i="18"/>
  <c r="M52" i="18"/>
  <c r="M68" i="18" s="1"/>
  <c r="L7" i="22" s="1"/>
  <c r="L52" i="18"/>
  <c r="K52" i="18"/>
  <c r="J52" i="18"/>
  <c r="I52" i="18"/>
  <c r="H52" i="18"/>
  <c r="G52" i="18"/>
  <c r="G68" i="18" s="1"/>
  <c r="F7" i="22" s="1"/>
  <c r="F52" i="18"/>
  <c r="E52" i="18"/>
  <c r="E68" i="18" s="1"/>
  <c r="D7" i="22" s="1"/>
  <c r="D52" i="18"/>
  <c r="M51" i="18"/>
  <c r="L51" i="18"/>
  <c r="K51" i="18"/>
  <c r="J51" i="18"/>
  <c r="I51" i="18"/>
  <c r="H51" i="18"/>
  <c r="G51" i="18"/>
  <c r="F51" i="18"/>
  <c r="E51" i="18"/>
  <c r="D51" i="18"/>
  <c r="M50" i="18"/>
  <c r="L50" i="18"/>
  <c r="K50" i="18"/>
  <c r="J50" i="18"/>
  <c r="I50" i="18"/>
  <c r="H50" i="18"/>
  <c r="G50" i="18"/>
  <c r="F50" i="18"/>
  <c r="E50" i="18"/>
  <c r="D50" i="18"/>
  <c r="M49" i="18"/>
  <c r="L49" i="18"/>
  <c r="K49" i="18"/>
  <c r="J49" i="18"/>
  <c r="I49" i="18"/>
  <c r="H49" i="18"/>
  <c r="G49" i="18"/>
  <c r="F49" i="18"/>
  <c r="E49" i="18"/>
  <c r="D49" i="18"/>
  <c r="M48" i="18"/>
  <c r="L48" i="18"/>
  <c r="K48" i="18"/>
  <c r="J48" i="18"/>
  <c r="I48" i="18"/>
  <c r="H48" i="18"/>
  <c r="G48" i="18"/>
  <c r="F48" i="18"/>
  <c r="E48" i="18"/>
  <c r="D48" i="18"/>
  <c r="M47" i="18"/>
  <c r="L47" i="18"/>
  <c r="K47" i="18"/>
  <c r="J47" i="18"/>
  <c r="I47" i="18"/>
  <c r="H47" i="18"/>
  <c r="G47" i="18"/>
  <c r="F47" i="18"/>
  <c r="E47" i="18"/>
  <c r="D47" i="18"/>
  <c r="M46" i="18"/>
  <c r="L46" i="18"/>
  <c r="K46" i="18"/>
  <c r="J46" i="18"/>
  <c r="I46" i="18"/>
  <c r="H46" i="18"/>
  <c r="G46" i="18"/>
  <c r="F46" i="18"/>
  <c r="E46" i="18"/>
  <c r="D46" i="18"/>
  <c r="M45" i="18"/>
  <c r="L45" i="18"/>
  <c r="K45" i="18"/>
  <c r="J45" i="18"/>
  <c r="I45" i="18"/>
  <c r="H45" i="18"/>
  <c r="G45" i="18"/>
  <c r="F45" i="18"/>
  <c r="E45" i="18"/>
  <c r="D45" i="18"/>
  <c r="M44" i="18"/>
  <c r="L44" i="18"/>
  <c r="K44" i="18"/>
  <c r="J44" i="18"/>
  <c r="I44" i="18"/>
  <c r="H44" i="18"/>
  <c r="G44" i="18"/>
  <c r="F44" i="18"/>
  <c r="E44" i="18"/>
  <c r="D44" i="18"/>
  <c r="M43" i="18"/>
  <c r="L43" i="18"/>
  <c r="K43" i="18"/>
  <c r="J43" i="18"/>
  <c r="I43" i="18"/>
  <c r="H43" i="18"/>
  <c r="G43" i="18"/>
  <c r="F43" i="18"/>
  <c r="E43" i="18"/>
  <c r="D43" i="18"/>
  <c r="M42" i="18"/>
  <c r="L42" i="18"/>
  <c r="K42" i="18"/>
  <c r="J42" i="18"/>
  <c r="I42" i="18"/>
  <c r="H42" i="18"/>
  <c r="G42" i="18"/>
  <c r="F42" i="18"/>
  <c r="E42" i="18"/>
  <c r="D42" i="18"/>
  <c r="M41" i="18"/>
  <c r="L41" i="18"/>
  <c r="K41" i="18"/>
  <c r="J41" i="18"/>
  <c r="I41" i="18"/>
  <c r="H41" i="18"/>
  <c r="G41" i="18"/>
  <c r="F41" i="18"/>
  <c r="E41" i="18"/>
  <c r="D41" i="18"/>
  <c r="M40" i="18"/>
  <c r="L40" i="18"/>
  <c r="K40" i="18"/>
  <c r="J40" i="18"/>
  <c r="I40" i="18"/>
  <c r="H40" i="18"/>
  <c r="G40" i="18"/>
  <c r="F40" i="18"/>
  <c r="E40" i="18"/>
  <c r="D40" i="18"/>
  <c r="M39" i="18"/>
  <c r="L39" i="18"/>
  <c r="L67" i="18" s="1"/>
  <c r="K39" i="18"/>
  <c r="J39" i="18"/>
  <c r="I39" i="18"/>
  <c r="H39" i="18"/>
  <c r="G39" i="18"/>
  <c r="G67" i="18" s="1"/>
  <c r="F39" i="18"/>
  <c r="E39" i="18"/>
  <c r="D39" i="18"/>
  <c r="M38" i="18"/>
  <c r="L38" i="18"/>
  <c r="K38" i="18"/>
  <c r="J38" i="18"/>
  <c r="I38" i="18"/>
  <c r="H38" i="18"/>
  <c r="G38" i="18"/>
  <c r="F38" i="18"/>
  <c r="E38" i="18"/>
  <c r="D38" i="18"/>
  <c r="M37" i="18"/>
  <c r="M67" i="18" s="1"/>
  <c r="L37" i="18"/>
  <c r="K37" i="18"/>
  <c r="K67" i="18" s="1"/>
  <c r="J37" i="18"/>
  <c r="I37" i="18"/>
  <c r="H37" i="18"/>
  <c r="H67" i="18" s="1"/>
  <c r="G37" i="18"/>
  <c r="F37" i="18"/>
  <c r="E37" i="18"/>
  <c r="D37" i="18"/>
  <c r="M34" i="18"/>
  <c r="L34" i="18"/>
  <c r="K34" i="18"/>
  <c r="J34" i="18"/>
  <c r="I34" i="18"/>
  <c r="H34" i="18"/>
  <c r="G34" i="18"/>
  <c r="F34" i="18"/>
  <c r="E34" i="18"/>
  <c r="D34" i="18"/>
  <c r="D94" i="17"/>
  <c r="D93" i="17"/>
  <c r="D33" i="17" s="1"/>
  <c r="D92" i="17"/>
  <c r="D91" i="17"/>
  <c r="D90" i="17"/>
  <c r="D95" i="17" s="1"/>
  <c r="E89" i="17"/>
  <c r="D89" i="17"/>
  <c r="E79" i="17"/>
  <c r="E93" i="17" s="1"/>
  <c r="E10" i="16" s="1"/>
  <c r="F78" i="17"/>
  <c r="F92" i="17" s="1"/>
  <c r="F9" i="16" s="1"/>
  <c r="E78" i="17"/>
  <c r="E92" i="17" s="1"/>
  <c r="E9" i="16" s="1"/>
  <c r="D54" i="17"/>
  <c r="L52" i="17"/>
  <c r="K52" i="17"/>
  <c r="I52" i="17"/>
  <c r="H52" i="17"/>
  <c r="G52" i="17"/>
  <c r="F52" i="17"/>
  <c r="D44" i="17"/>
  <c r="D43" i="17"/>
  <c r="D40" i="17"/>
  <c r="D34" i="17"/>
  <c r="F33" i="17"/>
  <c r="E33" i="17"/>
  <c r="F79" i="17" s="1"/>
  <c r="F93" i="17" s="1"/>
  <c r="F10" i="16" s="1"/>
  <c r="D32" i="17"/>
  <c r="E32" i="17" s="1"/>
  <c r="D30" i="17"/>
  <c r="D29" i="17"/>
  <c r="E75" i="17" s="1"/>
  <c r="M26" i="17"/>
  <c r="M52" i="17" s="1"/>
  <c r="L26" i="17"/>
  <c r="K26" i="17"/>
  <c r="J26" i="17"/>
  <c r="J52" i="17" s="1"/>
  <c r="I26" i="17"/>
  <c r="H26" i="17"/>
  <c r="G26" i="17"/>
  <c r="F26" i="17"/>
  <c r="E26" i="17"/>
  <c r="D26" i="17"/>
  <c r="D52" i="17" s="1"/>
  <c r="C18" i="17"/>
  <c r="C17" i="17"/>
  <c r="C16" i="17"/>
  <c r="C15" i="17"/>
  <c r="C14" i="17"/>
  <c r="C13" i="17"/>
  <c r="C11" i="17"/>
  <c r="C10" i="17"/>
  <c r="C9" i="17"/>
  <c r="C8" i="17"/>
  <c r="C7" i="17"/>
  <c r="C6" i="17"/>
  <c r="D11" i="16"/>
  <c r="D10" i="16"/>
  <c r="D47" i="17" s="1"/>
  <c r="D9" i="16"/>
  <c r="D46" i="17" s="1"/>
  <c r="D7" i="16"/>
  <c r="D6" i="16"/>
  <c r="M33" i="15"/>
  <c r="L33" i="15"/>
  <c r="K33" i="15"/>
  <c r="J33" i="15"/>
  <c r="I33" i="15"/>
  <c r="G13" i="26" s="1"/>
  <c r="H33" i="15"/>
  <c r="G33" i="15"/>
  <c r="F33" i="15"/>
  <c r="E33" i="15"/>
  <c r="D33" i="15"/>
  <c r="M28" i="15"/>
  <c r="J28" i="15"/>
  <c r="I28" i="15"/>
  <c r="D28" i="15"/>
  <c r="M27" i="15"/>
  <c r="J27" i="15"/>
  <c r="I27" i="15"/>
  <c r="H27" i="15"/>
  <c r="E27" i="15"/>
  <c r="D27" i="15"/>
  <c r="J26" i="15"/>
  <c r="I26" i="15"/>
  <c r="H26" i="15"/>
  <c r="G26" i="15"/>
  <c r="F26" i="15"/>
  <c r="D26" i="15"/>
  <c r="M24" i="15"/>
  <c r="L24" i="15"/>
  <c r="L27" i="15" s="1"/>
  <c r="K24" i="15"/>
  <c r="J24" i="15"/>
  <c r="I24" i="15"/>
  <c r="H24" i="15"/>
  <c r="G24" i="15"/>
  <c r="G27" i="15" s="1"/>
  <c r="F24" i="15"/>
  <c r="F27" i="15" s="1"/>
  <c r="E24" i="15"/>
  <c r="E23" i="15" s="1"/>
  <c r="M23" i="15"/>
  <c r="M26" i="15" s="1"/>
  <c r="J23" i="15"/>
  <c r="I23" i="15"/>
  <c r="H23" i="15"/>
  <c r="H28" i="15" s="1"/>
  <c r="G23" i="15"/>
  <c r="G28" i="15" s="1"/>
  <c r="F23" i="15"/>
  <c r="F28" i="15" s="1"/>
  <c r="J20" i="15"/>
  <c r="H20" i="15"/>
  <c r="E20" i="15"/>
  <c r="D20" i="15"/>
  <c r="J19" i="15"/>
  <c r="I19" i="15"/>
  <c r="H19" i="15"/>
  <c r="G19" i="15"/>
  <c r="D19" i="15"/>
  <c r="M18" i="15"/>
  <c r="J18" i="15"/>
  <c r="H18" i="15"/>
  <c r="D18" i="15"/>
  <c r="M16" i="15"/>
  <c r="M19" i="15" s="1"/>
  <c r="L16" i="15"/>
  <c r="K16" i="15"/>
  <c r="J16" i="15"/>
  <c r="J15" i="15" s="1"/>
  <c r="I16" i="15"/>
  <c r="I15" i="15" s="1"/>
  <c r="I18" i="15" s="1"/>
  <c r="H16" i="15"/>
  <c r="G16" i="15"/>
  <c r="F16" i="15"/>
  <c r="F19" i="15" s="1"/>
  <c r="E16" i="15"/>
  <c r="E19" i="15" s="1"/>
  <c r="M15" i="15"/>
  <c r="M20" i="15" s="1"/>
  <c r="H15" i="15"/>
  <c r="G15" i="15"/>
  <c r="F15" i="15"/>
  <c r="E15" i="15"/>
  <c r="E18" i="15" s="1"/>
  <c r="F12" i="15"/>
  <c r="D12" i="15"/>
  <c r="L11" i="15"/>
  <c r="E11" i="15"/>
  <c r="D11" i="15"/>
  <c r="F10" i="15"/>
  <c r="E10" i="15"/>
  <c r="D10" i="15"/>
  <c r="M8" i="15"/>
  <c r="L8" i="15"/>
  <c r="K8" i="15"/>
  <c r="J8" i="15"/>
  <c r="I8" i="15"/>
  <c r="H8" i="15"/>
  <c r="G8" i="15"/>
  <c r="F8" i="15"/>
  <c r="F11" i="15" s="1"/>
  <c r="E8" i="15"/>
  <c r="L7" i="15"/>
  <c r="L10" i="15" s="1"/>
  <c r="F7" i="15"/>
  <c r="E7" i="15"/>
  <c r="E12" i="15" s="1"/>
  <c r="M33" i="14"/>
  <c r="L33" i="14"/>
  <c r="K33" i="14"/>
  <c r="J33" i="14"/>
  <c r="I33" i="14"/>
  <c r="G12" i="26" s="1"/>
  <c r="H33" i="14"/>
  <c r="G33" i="14"/>
  <c r="F33" i="14"/>
  <c r="E33" i="14"/>
  <c r="D33" i="14"/>
  <c r="H32" i="14"/>
  <c r="J28" i="14"/>
  <c r="D28" i="14"/>
  <c r="M27" i="14"/>
  <c r="L27" i="14"/>
  <c r="K27" i="14"/>
  <c r="J27" i="14"/>
  <c r="I27" i="14"/>
  <c r="H27" i="14"/>
  <c r="G27" i="14"/>
  <c r="F27" i="14"/>
  <c r="E27" i="14"/>
  <c r="D27" i="14"/>
  <c r="M26" i="14"/>
  <c r="L26" i="14"/>
  <c r="K26" i="14"/>
  <c r="D26" i="14"/>
  <c r="M24" i="14"/>
  <c r="L24" i="14"/>
  <c r="K24" i="14"/>
  <c r="J24" i="14"/>
  <c r="I24" i="14"/>
  <c r="H24" i="14"/>
  <c r="G24" i="14"/>
  <c r="F24" i="14"/>
  <c r="F23" i="14" s="1"/>
  <c r="E24" i="14"/>
  <c r="M23" i="14"/>
  <c r="M28" i="14" s="1"/>
  <c r="L23" i="14"/>
  <c r="L28" i="14" s="1"/>
  <c r="K23" i="14"/>
  <c r="K28" i="14" s="1"/>
  <c r="J23" i="14"/>
  <c r="J26" i="14" s="1"/>
  <c r="I23" i="14"/>
  <c r="H23" i="14"/>
  <c r="G23" i="14"/>
  <c r="E23" i="14"/>
  <c r="E28" i="14" s="1"/>
  <c r="D20" i="14"/>
  <c r="M19" i="14"/>
  <c r="L19" i="14"/>
  <c r="K19" i="14"/>
  <c r="H19" i="14"/>
  <c r="F19" i="14"/>
  <c r="E19" i="14"/>
  <c r="D19" i="14"/>
  <c r="M18" i="14"/>
  <c r="L18" i="14"/>
  <c r="L31" i="14" s="1"/>
  <c r="K18" i="14"/>
  <c r="H18" i="14"/>
  <c r="F18" i="14"/>
  <c r="D18" i="14"/>
  <c r="M16" i="14"/>
  <c r="L16" i="14"/>
  <c r="K16" i="14"/>
  <c r="J16" i="14"/>
  <c r="J19" i="14" s="1"/>
  <c r="J32" i="14" s="1"/>
  <c r="I16" i="14"/>
  <c r="H16" i="14"/>
  <c r="G16" i="14"/>
  <c r="F16" i="14"/>
  <c r="E16" i="14"/>
  <c r="M15" i="14"/>
  <c r="M20" i="14" s="1"/>
  <c r="L15" i="14"/>
  <c r="L20" i="14" s="1"/>
  <c r="K15" i="14"/>
  <c r="K20" i="14" s="1"/>
  <c r="J15" i="14"/>
  <c r="J20" i="14" s="1"/>
  <c r="H15" i="14"/>
  <c r="H20" i="14" s="1"/>
  <c r="F15" i="14"/>
  <c r="F20" i="14" s="1"/>
  <c r="E15" i="14"/>
  <c r="L12" i="14"/>
  <c r="K12" i="14"/>
  <c r="D12" i="14"/>
  <c r="M11" i="14"/>
  <c r="L11" i="14"/>
  <c r="K11" i="14"/>
  <c r="K32" i="14" s="1"/>
  <c r="J11" i="14"/>
  <c r="I11" i="14"/>
  <c r="H11" i="14"/>
  <c r="E11" i="14"/>
  <c r="E32" i="14" s="1"/>
  <c r="D11" i="14"/>
  <c r="D32" i="14" s="1"/>
  <c r="D27" i="16" s="1"/>
  <c r="L10" i="14"/>
  <c r="K10" i="14"/>
  <c r="I10" i="14"/>
  <c r="H10" i="14"/>
  <c r="E10" i="14"/>
  <c r="D10" i="14"/>
  <c r="D31" i="14" s="1"/>
  <c r="M8" i="14"/>
  <c r="L8" i="14"/>
  <c r="K8" i="14"/>
  <c r="J8" i="14"/>
  <c r="I8" i="14"/>
  <c r="H8" i="14"/>
  <c r="H7" i="14" s="1"/>
  <c r="H12" i="14" s="1"/>
  <c r="G8" i="14"/>
  <c r="F8" i="14"/>
  <c r="E8" i="14"/>
  <c r="E7" i="14" s="1"/>
  <c r="E12" i="14" s="1"/>
  <c r="M7" i="14"/>
  <c r="L7" i="14"/>
  <c r="K7" i="14"/>
  <c r="J7" i="14"/>
  <c r="I7" i="14"/>
  <c r="I12" i="14" s="1"/>
  <c r="M33" i="13"/>
  <c r="L33" i="13"/>
  <c r="K33" i="13"/>
  <c r="J33" i="13"/>
  <c r="I33" i="13"/>
  <c r="G11" i="26" s="1"/>
  <c r="H33" i="13"/>
  <c r="G33" i="13"/>
  <c r="F33" i="13"/>
  <c r="E33" i="13"/>
  <c r="D33" i="13"/>
  <c r="M32" i="13"/>
  <c r="J32" i="13"/>
  <c r="D28" i="13"/>
  <c r="M27" i="13"/>
  <c r="K27" i="13"/>
  <c r="D27" i="13"/>
  <c r="K26" i="13"/>
  <c r="D26" i="13"/>
  <c r="M24" i="13"/>
  <c r="L24" i="13"/>
  <c r="K24" i="13"/>
  <c r="J24" i="13"/>
  <c r="J27" i="13" s="1"/>
  <c r="I24" i="13"/>
  <c r="H24" i="13"/>
  <c r="H23" i="13" s="1"/>
  <c r="G24" i="13"/>
  <c r="F24" i="13"/>
  <c r="E24" i="13"/>
  <c r="M23" i="13"/>
  <c r="K23" i="13"/>
  <c r="K28" i="13" s="1"/>
  <c r="M20" i="13"/>
  <c r="D20" i="13"/>
  <c r="M19" i="13"/>
  <c r="L19" i="13"/>
  <c r="K19" i="13"/>
  <c r="J19" i="13"/>
  <c r="I19" i="13"/>
  <c r="G19" i="13"/>
  <c r="F19" i="13"/>
  <c r="E19" i="13"/>
  <c r="D19" i="13"/>
  <c r="L18" i="13"/>
  <c r="D18" i="13"/>
  <c r="M16" i="13"/>
  <c r="L16" i="13"/>
  <c r="K16" i="13"/>
  <c r="J16" i="13"/>
  <c r="I16" i="13"/>
  <c r="H16" i="13"/>
  <c r="G16" i="13"/>
  <c r="F16" i="13"/>
  <c r="E16" i="13"/>
  <c r="E15" i="13" s="1"/>
  <c r="E18" i="13" s="1"/>
  <c r="M15" i="13"/>
  <c r="M18" i="13" s="1"/>
  <c r="L15" i="13"/>
  <c r="L20" i="13" s="1"/>
  <c r="K15" i="13"/>
  <c r="J15" i="13"/>
  <c r="I15" i="13"/>
  <c r="G15" i="13"/>
  <c r="G18" i="13" s="1"/>
  <c r="F15" i="13"/>
  <c r="D12" i="13"/>
  <c r="M11" i="13"/>
  <c r="L11" i="13"/>
  <c r="K11" i="13"/>
  <c r="J11" i="13"/>
  <c r="G11" i="13"/>
  <c r="F11" i="13"/>
  <c r="D11" i="13"/>
  <c r="D32" i="13" s="1"/>
  <c r="L10" i="13"/>
  <c r="K10" i="13"/>
  <c r="J10" i="13"/>
  <c r="F10" i="13"/>
  <c r="D10" i="13"/>
  <c r="D31" i="13" s="1"/>
  <c r="M8" i="13"/>
  <c r="L8" i="13"/>
  <c r="K8" i="13"/>
  <c r="J8" i="13"/>
  <c r="I8" i="13"/>
  <c r="I11" i="13" s="1"/>
  <c r="H8" i="13"/>
  <c r="G8" i="13"/>
  <c r="F8" i="13"/>
  <c r="E8" i="13"/>
  <c r="E11" i="13" s="1"/>
  <c r="M7" i="13"/>
  <c r="L7" i="13"/>
  <c r="L12" i="13" s="1"/>
  <c r="K7" i="13"/>
  <c r="K12" i="13" s="1"/>
  <c r="J7" i="13"/>
  <c r="J12" i="13" s="1"/>
  <c r="G7" i="13"/>
  <c r="F7" i="13"/>
  <c r="F12" i="13" s="1"/>
  <c r="M33" i="12"/>
  <c r="L33" i="12"/>
  <c r="K33" i="12"/>
  <c r="J33" i="12"/>
  <c r="I33" i="12"/>
  <c r="G10" i="26" s="1"/>
  <c r="H33" i="12"/>
  <c r="G33" i="12"/>
  <c r="F33" i="12"/>
  <c r="E33" i="12"/>
  <c r="D33" i="12"/>
  <c r="H32" i="12"/>
  <c r="M31" i="12"/>
  <c r="D31" i="12"/>
  <c r="D36" i="12" s="1"/>
  <c r="M28" i="12"/>
  <c r="H28" i="12"/>
  <c r="G28" i="12"/>
  <c r="D28" i="12"/>
  <c r="M27" i="12"/>
  <c r="L27" i="12"/>
  <c r="K27" i="12"/>
  <c r="I27" i="12"/>
  <c r="H27" i="12"/>
  <c r="G27" i="12"/>
  <c r="F27" i="12"/>
  <c r="E27" i="12"/>
  <c r="D27" i="12"/>
  <c r="D32" i="12" s="1"/>
  <c r="I26" i="12"/>
  <c r="G26" i="12"/>
  <c r="F26" i="12"/>
  <c r="D26" i="12"/>
  <c r="M24" i="12"/>
  <c r="L24" i="12"/>
  <c r="K24" i="12"/>
  <c r="J24" i="12"/>
  <c r="I24" i="12"/>
  <c r="H24" i="12"/>
  <c r="H23" i="12" s="1"/>
  <c r="H26" i="12" s="1"/>
  <c r="G24" i="12"/>
  <c r="G23" i="12" s="1"/>
  <c r="F24" i="12"/>
  <c r="E24" i="12"/>
  <c r="M23" i="12"/>
  <c r="M26" i="12" s="1"/>
  <c r="L23" i="12"/>
  <c r="K23" i="12"/>
  <c r="K28" i="12" s="1"/>
  <c r="I23" i="12"/>
  <c r="I28" i="12" s="1"/>
  <c r="F23" i="12"/>
  <c r="F28" i="12" s="1"/>
  <c r="E23" i="12"/>
  <c r="M20" i="12"/>
  <c r="L20" i="12"/>
  <c r="K20" i="12"/>
  <c r="H20" i="12"/>
  <c r="D20" i="12"/>
  <c r="M19" i="12"/>
  <c r="K19" i="12"/>
  <c r="J19" i="12"/>
  <c r="I19" i="12"/>
  <c r="H19" i="12"/>
  <c r="G19" i="12"/>
  <c r="D19" i="12"/>
  <c r="M18" i="12"/>
  <c r="H18" i="12"/>
  <c r="G18" i="12"/>
  <c r="D18" i="12"/>
  <c r="M16" i="12"/>
  <c r="L16" i="12"/>
  <c r="L15" i="12" s="1"/>
  <c r="L18" i="12" s="1"/>
  <c r="K16" i="12"/>
  <c r="J16" i="12"/>
  <c r="I16" i="12"/>
  <c r="H16" i="12"/>
  <c r="G16" i="12"/>
  <c r="G15" i="12" s="1"/>
  <c r="G20" i="12" s="1"/>
  <c r="F16" i="12"/>
  <c r="E16" i="12"/>
  <c r="E19" i="12" s="1"/>
  <c r="E32" i="12" s="1"/>
  <c r="M15" i="12"/>
  <c r="K15" i="12"/>
  <c r="K18" i="12" s="1"/>
  <c r="J15" i="12"/>
  <c r="J20" i="12" s="1"/>
  <c r="I15" i="12"/>
  <c r="I18" i="12" s="1"/>
  <c r="H15" i="12"/>
  <c r="K12" i="12"/>
  <c r="H12" i="12"/>
  <c r="D12" i="12"/>
  <c r="M11" i="12"/>
  <c r="M32" i="12" s="1"/>
  <c r="L11" i="12"/>
  <c r="K11" i="12"/>
  <c r="H11" i="12"/>
  <c r="G11" i="12"/>
  <c r="G32" i="12" s="1"/>
  <c r="F11" i="12"/>
  <c r="E11" i="12"/>
  <c r="D11" i="12"/>
  <c r="M10" i="12"/>
  <c r="L10" i="12"/>
  <c r="G10" i="12"/>
  <c r="F10" i="12"/>
  <c r="E10" i="12"/>
  <c r="D10" i="12"/>
  <c r="M8" i="12"/>
  <c r="M7" i="12" s="1"/>
  <c r="M12" i="12" s="1"/>
  <c r="L8" i="12"/>
  <c r="L7" i="12" s="1"/>
  <c r="L12" i="12" s="1"/>
  <c r="K8" i="12"/>
  <c r="J8" i="12"/>
  <c r="J11" i="12" s="1"/>
  <c r="I8" i="12"/>
  <c r="I11" i="12" s="1"/>
  <c r="I32" i="12" s="1"/>
  <c r="D10" i="26" s="1"/>
  <c r="H8" i="12"/>
  <c r="G8" i="12"/>
  <c r="G7" i="12" s="1"/>
  <c r="G12" i="12" s="1"/>
  <c r="F8" i="12"/>
  <c r="F7" i="12" s="1"/>
  <c r="F12" i="12" s="1"/>
  <c r="E8" i="12"/>
  <c r="E7" i="12" s="1"/>
  <c r="E12" i="12" s="1"/>
  <c r="K7" i="12"/>
  <c r="K10" i="12" s="1"/>
  <c r="J7" i="12"/>
  <c r="J10" i="12" s="1"/>
  <c r="I7" i="12"/>
  <c r="H7" i="12"/>
  <c r="H10" i="12" s="1"/>
  <c r="H31" i="12" s="1"/>
  <c r="M41" i="11"/>
  <c r="L41" i="11"/>
  <c r="K41" i="11"/>
  <c r="J41" i="11"/>
  <c r="I41" i="11"/>
  <c r="G9" i="26" s="1"/>
  <c r="H41" i="11"/>
  <c r="G41" i="11"/>
  <c r="F41" i="11"/>
  <c r="E41" i="11"/>
  <c r="D41" i="11"/>
  <c r="D40" i="11"/>
  <c r="D39" i="11"/>
  <c r="L36" i="11"/>
  <c r="K36" i="11"/>
  <c r="E36" i="11"/>
  <c r="D36" i="11"/>
  <c r="L35" i="11"/>
  <c r="I35" i="11"/>
  <c r="F35" i="11"/>
  <c r="E35" i="11"/>
  <c r="D35" i="11"/>
  <c r="L34" i="11"/>
  <c r="K34" i="11"/>
  <c r="D34" i="11"/>
  <c r="M32" i="11"/>
  <c r="L32" i="11"/>
  <c r="L31" i="11" s="1"/>
  <c r="K32" i="11"/>
  <c r="K35" i="11" s="1"/>
  <c r="J32" i="11"/>
  <c r="J35" i="11" s="1"/>
  <c r="I32" i="11"/>
  <c r="H32" i="11"/>
  <c r="G32" i="11"/>
  <c r="F32" i="11"/>
  <c r="E32" i="11"/>
  <c r="K31" i="11"/>
  <c r="J31" i="11"/>
  <c r="I31" i="11"/>
  <c r="F31" i="11"/>
  <c r="E31" i="11"/>
  <c r="E34" i="11" s="1"/>
  <c r="J28" i="11"/>
  <c r="G28" i="11"/>
  <c r="F28" i="11"/>
  <c r="E28" i="11"/>
  <c r="D28" i="11"/>
  <c r="M27" i="11"/>
  <c r="J27" i="11"/>
  <c r="F27" i="11"/>
  <c r="E27" i="11"/>
  <c r="D27" i="11"/>
  <c r="J26" i="11"/>
  <c r="G26" i="11"/>
  <c r="F26" i="11"/>
  <c r="E26" i="11"/>
  <c r="D26" i="11"/>
  <c r="M24" i="11"/>
  <c r="M23" i="11" s="1"/>
  <c r="M26" i="11" s="1"/>
  <c r="L24" i="11"/>
  <c r="K24" i="11"/>
  <c r="K27" i="11" s="1"/>
  <c r="J24" i="11"/>
  <c r="I24" i="11"/>
  <c r="H24" i="11"/>
  <c r="G24" i="11"/>
  <c r="G27" i="11" s="1"/>
  <c r="F24" i="11"/>
  <c r="F23" i="11" s="1"/>
  <c r="E24" i="11"/>
  <c r="K23" i="11"/>
  <c r="K28" i="11" s="1"/>
  <c r="J23" i="11"/>
  <c r="G23" i="11"/>
  <c r="E23" i="11"/>
  <c r="K20" i="11"/>
  <c r="J20" i="11"/>
  <c r="I20" i="11"/>
  <c r="G20" i="11"/>
  <c r="D20" i="11"/>
  <c r="M19" i="11"/>
  <c r="L19" i="11"/>
  <c r="K19" i="11"/>
  <c r="J19" i="11"/>
  <c r="I19" i="11"/>
  <c r="D19" i="11"/>
  <c r="F18" i="11"/>
  <c r="D18" i="11"/>
  <c r="M16" i="11"/>
  <c r="L16" i="11"/>
  <c r="K16" i="11"/>
  <c r="K15" i="11" s="1"/>
  <c r="K18" i="11" s="1"/>
  <c r="J16" i="11"/>
  <c r="J15" i="11" s="1"/>
  <c r="J18" i="11" s="1"/>
  <c r="I16" i="11"/>
  <c r="H16" i="11"/>
  <c r="G16" i="11"/>
  <c r="G19" i="11" s="1"/>
  <c r="F16" i="11"/>
  <c r="F19" i="11" s="1"/>
  <c r="E16" i="11"/>
  <c r="M15" i="11"/>
  <c r="M18" i="11" s="1"/>
  <c r="L15" i="11"/>
  <c r="I15" i="11"/>
  <c r="I18" i="11" s="1"/>
  <c r="G15" i="11"/>
  <c r="G18" i="11" s="1"/>
  <c r="F15" i="11"/>
  <c r="F20" i="11" s="1"/>
  <c r="M12" i="11"/>
  <c r="D12" i="11"/>
  <c r="M11" i="11"/>
  <c r="L11" i="11"/>
  <c r="I11" i="11"/>
  <c r="H11" i="11"/>
  <c r="G11" i="11"/>
  <c r="F11" i="11"/>
  <c r="D11" i="11"/>
  <c r="L10" i="11"/>
  <c r="J10" i="11"/>
  <c r="I10" i="11"/>
  <c r="G10" i="11"/>
  <c r="F10" i="11"/>
  <c r="D10" i="11"/>
  <c r="M8" i="11"/>
  <c r="L8" i="11"/>
  <c r="K8" i="11"/>
  <c r="K11" i="11" s="1"/>
  <c r="K40" i="11" s="1"/>
  <c r="J8" i="11"/>
  <c r="J11" i="11" s="1"/>
  <c r="I8" i="11"/>
  <c r="I7" i="11" s="1"/>
  <c r="I12" i="11" s="1"/>
  <c r="H8" i="11"/>
  <c r="H7" i="11" s="1"/>
  <c r="G8" i="11"/>
  <c r="F8" i="11"/>
  <c r="E8" i="11"/>
  <c r="E11" i="11" s="1"/>
  <c r="M7" i="11"/>
  <c r="M10" i="11" s="1"/>
  <c r="L7" i="11"/>
  <c r="L12" i="11" s="1"/>
  <c r="J7" i="11"/>
  <c r="J12" i="11" s="1"/>
  <c r="G7" i="11"/>
  <c r="G12" i="11" s="1"/>
  <c r="F7" i="11"/>
  <c r="F12" i="11" s="1"/>
  <c r="E7" i="11"/>
  <c r="M33" i="10"/>
  <c r="L33" i="10"/>
  <c r="K33" i="10"/>
  <c r="J33" i="10"/>
  <c r="I33" i="10"/>
  <c r="G8" i="26" s="1"/>
  <c r="H33" i="10"/>
  <c r="G33" i="10"/>
  <c r="F33" i="10"/>
  <c r="E33" i="10"/>
  <c r="D33" i="10"/>
  <c r="D31" i="10"/>
  <c r="K28" i="10"/>
  <c r="J28" i="10"/>
  <c r="G28" i="10"/>
  <c r="D28" i="10"/>
  <c r="L27" i="10"/>
  <c r="K27" i="10"/>
  <c r="J27" i="10"/>
  <c r="E27" i="10"/>
  <c r="D27" i="10"/>
  <c r="K26" i="10"/>
  <c r="D26" i="10"/>
  <c r="M24" i="10"/>
  <c r="M23" i="10" s="1"/>
  <c r="L24" i="10"/>
  <c r="K24" i="10"/>
  <c r="J24" i="10"/>
  <c r="J23" i="10" s="1"/>
  <c r="J26" i="10" s="1"/>
  <c r="I24" i="10"/>
  <c r="H24" i="10"/>
  <c r="G24" i="10"/>
  <c r="G23" i="10" s="1"/>
  <c r="G26" i="10" s="1"/>
  <c r="F24" i="10"/>
  <c r="E24" i="10"/>
  <c r="E23" i="10" s="1"/>
  <c r="L23" i="10"/>
  <c r="K23" i="10"/>
  <c r="D20" i="10"/>
  <c r="M19" i="10"/>
  <c r="L19" i="10"/>
  <c r="L32" i="10" s="1"/>
  <c r="K19" i="10"/>
  <c r="J19" i="10"/>
  <c r="I19" i="10"/>
  <c r="H19" i="10"/>
  <c r="G19" i="10"/>
  <c r="D19" i="10"/>
  <c r="L18" i="10"/>
  <c r="D18" i="10"/>
  <c r="M16" i="10"/>
  <c r="L16" i="10"/>
  <c r="K16" i="10"/>
  <c r="J16" i="10"/>
  <c r="I16" i="10"/>
  <c r="H16" i="10"/>
  <c r="G16" i="10"/>
  <c r="F16" i="10"/>
  <c r="E16" i="10"/>
  <c r="E15" i="10" s="1"/>
  <c r="M15" i="10"/>
  <c r="L15" i="10"/>
  <c r="L20" i="10" s="1"/>
  <c r="K15" i="10"/>
  <c r="K18" i="10" s="1"/>
  <c r="J15" i="10"/>
  <c r="I15" i="10"/>
  <c r="I18" i="10" s="1"/>
  <c r="H15" i="10"/>
  <c r="G15" i="10"/>
  <c r="G18" i="10" s="1"/>
  <c r="L12" i="10"/>
  <c r="D12" i="10"/>
  <c r="L11" i="10"/>
  <c r="K11" i="10"/>
  <c r="J11" i="10"/>
  <c r="G11" i="10"/>
  <c r="F11" i="10"/>
  <c r="E11" i="10"/>
  <c r="D11" i="10"/>
  <c r="D32" i="10" s="1"/>
  <c r="D23" i="16" s="1"/>
  <c r="L10" i="10"/>
  <c r="K10" i="10"/>
  <c r="K31" i="10" s="1"/>
  <c r="J10" i="10"/>
  <c r="G10" i="10"/>
  <c r="G31" i="10" s="1"/>
  <c r="D10" i="10"/>
  <c r="M8" i="10"/>
  <c r="L8" i="10"/>
  <c r="K8" i="10"/>
  <c r="J8" i="10"/>
  <c r="I8" i="10"/>
  <c r="I11" i="10" s="1"/>
  <c r="H8" i="10"/>
  <c r="H11" i="10" s="1"/>
  <c r="G8" i="10"/>
  <c r="F8" i="10"/>
  <c r="E8" i="10"/>
  <c r="E7" i="10" s="1"/>
  <c r="L7" i="10"/>
  <c r="K7" i="10"/>
  <c r="K12" i="10" s="1"/>
  <c r="J7" i="10"/>
  <c r="J12" i="10" s="1"/>
  <c r="I7" i="10"/>
  <c r="I12" i="10" s="1"/>
  <c r="H7" i="10"/>
  <c r="G7" i="10"/>
  <c r="G12" i="10" s="1"/>
  <c r="F7" i="10"/>
  <c r="C53" i="9"/>
  <c r="M48" i="8"/>
  <c r="L48" i="8"/>
  <c r="E48" i="8"/>
  <c r="M45" i="8"/>
  <c r="L45" i="8"/>
  <c r="K45" i="8"/>
  <c r="J45" i="8"/>
  <c r="I45" i="8"/>
  <c r="H45" i="8"/>
  <c r="G45" i="8"/>
  <c r="F45" i="8"/>
  <c r="E45" i="8"/>
  <c r="D45" i="8"/>
  <c r="F37" i="8"/>
  <c r="F38" i="8" s="1"/>
  <c r="F20" i="8"/>
  <c r="F40" i="8" s="1"/>
  <c r="F41" i="8" s="1"/>
  <c r="F18" i="8"/>
  <c r="F34" i="8" s="1"/>
  <c r="F35" i="8" s="1"/>
  <c r="G17" i="8"/>
  <c r="G31" i="8" s="1"/>
  <c r="G32" i="8" s="1"/>
  <c r="F17" i="8"/>
  <c r="F31" i="8" s="1"/>
  <c r="F32" i="8" s="1"/>
  <c r="H11" i="8"/>
  <c r="H10" i="8"/>
  <c r="H9" i="8"/>
  <c r="H8" i="8"/>
  <c r="H7" i="8"/>
  <c r="H6" i="8"/>
  <c r="M80" i="7"/>
  <c r="J80" i="7"/>
  <c r="I80" i="7"/>
  <c r="D80" i="7"/>
  <c r="I79" i="7"/>
  <c r="F78" i="7"/>
  <c r="M77" i="7"/>
  <c r="L77" i="7"/>
  <c r="E77" i="7"/>
  <c r="F76" i="7"/>
  <c r="E76" i="7"/>
  <c r="D76" i="7"/>
  <c r="M69" i="7"/>
  <c r="H69" i="7"/>
  <c r="E69" i="7"/>
  <c r="D69" i="7"/>
  <c r="K68" i="7"/>
  <c r="J68" i="7"/>
  <c r="I68" i="7"/>
  <c r="H68" i="7"/>
  <c r="G68" i="7"/>
  <c r="F68" i="7"/>
  <c r="E68" i="7"/>
  <c r="D68" i="7"/>
  <c r="H67" i="7"/>
  <c r="G67" i="7"/>
  <c r="E67" i="7"/>
  <c r="L66" i="7"/>
  <c r="K66" i="7"/>
  <c r="I66" i="7"/>
  <c r="H66" i="7"/>
  <c r="F66" i="7"/>
  <c r="E66" i="7"/>
  <c r="D66" i="7"/>
  <c r="D58" i="7"/>
  <c r="M57" i="7"/>
  <c r="K57" i="7"/>
  <c r="J57" i="7"/>
  <c r="H57" i="7"/>
  <c r="G57" i="7"/>
  <c r="E57" i="7"/>
  <c r="K56" i="7"/>
  <c r="G56" i="7"/>
  <c r="D56" i="7"/>
  <c r="M55" i="7"/>
  <c r="L55" i="7"/>
  <c r="I55" i="7"/>
  <c r="G55" i="7"/>
  <c r="F55" i="7"/>
  <c r="E55" i="7"/>
  <c r="J54" i="7"/>
  <c r="F54" i="7"/>
  <c r="E54" i="7"/>
  <c r="D54" i="7"/>
  <c r="M47" i="7"/>
  <c r="K47" i="7"/>
  <c r="J47" i="7"/>
  <c r="H47" i="7"/>
  <c r="G47" i="7"/>
  <c r="D47" i="7"/>
  <c r="M46" i="7"/>
  <c r="K46" i="7"/>
  <c r="J46" i="7"/>
  <c r="H46" i="7"/>
  <c r="G46" i="7"/>
  <c r="D46" i="7"/>
  <c r="M45" i="7"/>
  <c r="I45" i="7"/>
  <c r="G45" i="7"/>
  <c r="F45" i="7"/>
  <c r="E45" i="7"/>
  <c r="L44" i="7"/>
  <c r="J44" i="7"/>
  <c r="I44" i="7"/>
  <c r="G44" i="7"/>
  <c r="G49" i="7" s="1"/>
  <c r="F44" i="7"/>
  <c r="D44" i="7"/>
  <c r="J43" i="7"/>
  <c r="J49" i="7" s="1"/>
  <c r="E43" i="7"/>
  <c r="M38" i="7"/>
  <c r="L38" i="7"/>
  <c r="L47" i="7" s="1"/>
  <c r="K38" i="7"/>
  <c r="J38" i="7"/>
  <c r="I38" i="7"/>
  <c r="I47" i="7" s="1"/>
  <c r="H38" i="7"/>
  <c r="G38" i="7"/>
  <c r="F38" i="7"/>
  <c r="F47" i="7" s="1"/>
  <c r="E38" i="7"/>
  <c r="E47" i="7" s="1"/>
  <c r="D38" i="7"/>
  <c r="M37" i="7"/>
  <c r="L37" i="7"/>
  <c r="L46" i="7" s="1"/>
  <c r="K37" i="7"/>
  <c r="J37" i="7"/>
  <c r="I37" i="7"/>
  <c r="I46" i="7" s="1"/>
  <c r="H37" i="7"/>
  <c r="H79" i="7" s="1"/>
  <c r="G37" i="7"/>
  <c r="F37" i="7"/>
  <c r="F46" i="7" s="1"/>
  <c r="E37" i="7"/>
  <c r="D37" i="7"/>
  <c r="M36" i="7"/>
  <c r="L36" i="7"/>
  <c r="L45" i="7" s="1"/>
  <c r="K36" i="7"/>
  <c r="K45" i="7" s="1"/>
  <c r="J36" i="7"/>
  <c r="J45" i="7" s="1"/>
  <c r="I36" i="7"/>
  <c r="H36" i="7"/>
  <c r="H45" i="7" s="1"/>
  <c r="G36" i="7"/>
  <c r="F36" i="7"/>
  <c r="E36" i="7"/>
  <c r="D36" i="7"/>
  <c r="D45" i="7" s="1"/>
  <c r="M35" i="7"/>
  <c r="M44" i="7" s="1"/>
  <c r="L35" i="7"/>
  <c r="K35" i="7"/>
  <c r="K44" i="7" s="1"/>
  <c r="J35" i="7"/>
  <c r="I35" i="7"/>
  <c r="H35" i="7"/>
  <c r="H44" i="7" s="1"/>
  <c r="G35" i="7"/>
  <c r="F35" i="7"/>
  <c r="F77" i="7" s="1"/>
  <c r="E35" i="7"/>
  <c r="E44" i="7" s="1"/>
  <c r="D35" i="7"/>
  <c r="M34" i="7"/>
  <c r="M43" i="7" s="1"/>
  <c r="L34" i="7"/>
  <c r="L43" i="7" s="1"/>
  <c r="K34" i="7"/>
  <c r="K43" i="7" s="1"/>
  <c r="K49" i="7" s="1"/>
  <c r="J34" i="7"/>
  <c r="I34" i="7"/>
  <c r="I43" i="7" s="1"/>
  <c r="H34" i="7"/>
  <c r="H43" i="7" s="1"/>
  <c r="G34" i="7"/>
  <c r="G43" i="7" s="1"/>
  <c r="F34" i="7"/>
  <c r="F43" i="7" s="1"/>
  <c r="E34" i="7"/>
  <c r="D34" i="7"/>
  <c r="D43" i="7" s="1"/>
  <c r="F12" i="7"/>
  <c r="E12" i="7"/>
  <c r="D12" i="7"/>
  <c r="M11" i="7"/>
  <c r="M58" i="7" s="1"/>
  <c r="L11" i="7"/>
  <c r="K11" i="7"/>
  <c r="J11" i="7"/>
  <c r="J69" i="7" s="1"/>
  <c r="I11" i="7"/>
  <c r="H11" i="7"/>
  <c r="H80" i="7" s="1"/>
  <c r="G11" i="7"/>
  <c r="G80" i="7" s="1"/>
  <c r="F11" i="7"/>
  <c r="E11" i="7"/>
  <c r="E80" i="7" s="1"/>
  <c r="D11" i="7"/>
  <c r="C11" i="7"/>
  <c r="M10" i="7"/>
  <c r="M79" i="7" s="1"/>
  <c r="L10" i="7"/>
  <c r="K10" i="7"/>
  <c r="J10" i="7"/>
  <c r="J79" i="7" s="1"/>
  <c r="I10" i="7"/>
  <c r="I57" i="7" s="1"/>
  <c r="H10" i="7"/>
  <c r="G10" i="7"/>
  <c r="G79" i="7" s="1"/>
  <c r="F10" i="7"/>
  <c r="F57" i="7" s="1"/>
  <c r="E10" i="7"/>
  <c r="D10" i="7"/>
  <c r="D79" i="7" s="1"/>
  <c r="C10" i="7"/>
  <c r="M9" i="7"/>
  <c r="M78" i="7" s="1"/>
  <c r="L9" i="7"/>
  <c r="L78" i="7" s="1"/>
  <c r="K9" i="7"/>
  <c r="K67" i="7" s="1"/>
  <c r="J9" i="7"/>
  <c r="I9" i="7"/>
  <c r="H9" i="7"/>
  <c r="H56" i="7" s="1"/>
  <c r="G9" i="7"/>
  <c r="G78" i="7" s="1"/>
  <c r="F9" i="7"/>
  <c r="F67" i="7" s="1"/>
  <c r="E9" i="7"/>
  <c r="E56" i="7" s="1"/>
  <c r="D9" i="7"/>
  <c r="C9" i="7"/>
  <c r="M8" i="7"/>
  <c r="M66" i="7" s="1"/>
  <c r="L8" i="7"/>
  <c r="K8" i="7"/>
  <c r="J8" i="7"/>
  <c r="I8" i="7"/>
  <c r="I77" i="7" s="1"/>
  <c r="H8" i="7"/>
  <c r="G8" i="7"/>
  <c r="F8" i="7"/>
  <c r="E8" i="7"/>
  <c r="D8" i="7"/>
  <c r="D55" i="7" s="1"/>
  <c r="C8" i="7"/>
  <c r="M7" i="7"/>
  <c r="M76" i="7" s="1"/>
  <c r="L7" i="7"/>
  <c r="K7" i="7"/>
  <c r="J7" i="7"/>
  <c r="J65" i="7" s="1"/>
  <c r="I7" i="7"/>
  <c r="I76" i="7" s="1"/>
  <c r="H7" i="7"/>
  <c r="H54" i="7" s="1"/>
  <c r="G7" i="7"/>
  <c r="G65" i="7" s="1"/>
  <c r="F7" i="7"/>
  <c r="F65" i="7" s="1"/>
  <c r="E7" i="7"/>
  <c r="E65" i="7" s="1"/>
  <c r="D7" i="7"/>
  <c r="D65" i="7" s="1"/>
  <c r="C7" i="7"/>
  <c r="M25" i="6"/>
  <c r="L25" i="6"/>
  <c r="K25" i="6"/>
  <c r="J25" i="6"/>
  <c r="I25" i="6"/>
  <c r="H25" i="6"/>
  <c r="G25" i="6"/>
  <c r="F25" i="6"/>
  <c r="E25" i="6"/>
  <c r="D25" i="6"/>
  <c r="M24" i="6"/>
  <c r="L24" i="6"/>
  <c r="K24" i="6"/>
  <c r="J24" i="6"/>
  <c r="I24" i="6"/>
  <c r="I16" i="8" s="1"/>
  <c r="I28" i="8" s="1"/>
  <c r="I29" i="8" s="1"/>
  <c r="H24" i="6"/>
  <c r="H17" i="8" s="1"/>
  <c r="H31" i="8" s="1"/>
  <c r="H32" i="8" s="1"/>
  <c r="G24" i="6"/>
  <c r="G20" i="8" s="1"/>
  <c r="G40" i="8" s="1"/>
  <c r="G41" i="8" s="1"/>
  <c r="F24" i="6"/>
  <c r="E24" i="6"/>
  <c r="D24" i="6"/>
  <c r="M23" i="6"/>
  <c r="L23" i="6"/>
  <c r="L19" i="8" s="1"/>
  <c r="L37" i="8" s="1"/>
  <c r="L38" i="8" s="1"/>
  <c r="K23" i="6"/>
  <c r="J23" i="6"/>
  <c r="I23" i="6"/>
  <c r="I18" i="8" s="1"/>
  <c r="I34" i="8" s="1"/>
  <c r="I35" i="8" s="1"/>
  <c r="H23" i="6"/>
  <c r="G23" i="6"/>
  <c r="F23" i="6"/>
  <c r="E23" i="6"/>
  <c r="D23" i="6"/>
  <c r="M22" i="6"/>
  <c r="L22" i="6"/>
  <c r="K22" i="6"/>
  <c r="J22" i="6"/>
  <c r="I22" i="6"/>
  <c r="H22" i="6"/>
  <c r="G22" i="6"/>
  <c r="F22" i="6"/>
  <c r="E22" i="6"/>
  <c r="E15" i="8" s="1"/>
  <c r="E25" i="8" s="1"/>
  <c r="D22" i="6"/>
  <c r="M21" i="6"/>
  <c r="L21" i="6"/>
  <c r="K21" i="6"/>
  <c r="J21" i="6"/>
  <c r="I21" i="6"/>
  <c r="H21" i="6"/>
  <c r="H15" i="8" s="1"/>
  <c r="H25" i="8" s="1"/>
  <c r="G21" i="6"/>
  <c r="G19" i="8" s="1"/>
  <c r="G37" i="8" s="1"/>
  <c r="G38" i="8" s="1"/>
  <c r="F21" i="6"/>
  <c r="F19" i="8" s="1"/>
  <c r="E21" i="6"/>
  <c r="D21" i="6"/>
  <c r="D16" i="8" s="1"/>
  <c r="D28" i="8" s="1"/>
  <c r="D29" i="8" s="1"/>
  <c r="M11" i="6"/>
  <c r="M5" i="19" s="1"/>
  <c r="L11" i="6"/>
  <c r="L5" i="19" s="1"/>
  <c r="K11" i="6"/>
  <c r="K5" i="19" s="1"/>
  <c r="J11" i="6"/>
  <c r="I11" i="6"/>
  <c r="H11" i="6"/>
  <c r="G11" i="6"/>
  <c r="G5" i="19" s="1"/>
  <c r="F11" i="6"/>
  <c r="E11" i="6"/>
  <c r="E5" i="19" s="1"/>
  <c r="D11" i="6"/>
  <c r="D5" i="19" s="1"/>
  <c r="I20" i="4"/>
  <c r="H20" i="4"/>
  <c r="G20" i="4"/>
  <c r="F20" i="4"/>
  <c r="E20" i="4"/>
  <c r="D20" i="4"/>
  <c r="C20" i="4"/>
  <c r="C42" i="2"/>
  <c r="C41" i="2"/>
  <c r="L30" i="2"/>
  <c r="K30" i="2"/>
  <c r="J30" i="2"/>
  <c r="I30" i="2"/>
  <c r="H30" i="2"/>
  <c r="G30" i="2"/>
  <c r="F30" i="2"/>
  <c r="E30" i="2"/>
  <c r="D30" i="2"/>
  <c r="C30" i="2"/>
  <c r="L28" i="2"/>
  <c r="K28" i="2"/>
  <c r="J28" i="2"/>
  <c r="I28" i="2"/>
  <c r="H28" i="2"/>
  <c r="G28" i="2"/>
  <c r="F28" i="2"/>
  <c r="E28" i="2"/>
  <c r="D28" i="2"/>
  <c r="C28" i="2"/>
  <c r="C27" i="2"/>
  <c r="L26" i="2"/>
  <c r="K26" i="2"/>
  <c r="J26" i="2"/>
  <c r="I26" i="2"/>
  <c r="H26" i="2"/>
  <c r="G26" i="2"/>
  <c r="F26" i="2"/>
  <c r="E26" i="2"/>
  <c r="D26" i="2"/>
  <c r="C26" i="2"/>
  <c r="C10" i="2"/>
  <c r="E82" i="7" l="1"/>
  <c r="D53" i="2" s="1"/>
  <c r="D35" i="12"/>
  <c r="E26" i="8"/>
  <c r="H26" i="8"/>
  <c r="E46" i="7"/>
  <c r="E79" i="7"/>
  <c r="E20" i="8"/>
  <c r="E40" i="8" s="1"/>
  <c r="E41" i="8" s="1"/>
  <c r="J77" i="7"/>
  <c r="J66" i="7"/>
  <c r="J71" i="7" s="1"/>
  <c r="J88" i="7" s="1"/>
  <c r="J55" i="7"/>
  <c r="L49" i="7"/>
  <c r="E12" i="10"/>
  <c r="E10" i="10"/>
  <c r="M27" i="10"/>
  <c r="F40" i="11"/>
  <c r="M10" i="13"/>
  <c r="M12" i="13"/>
  <c r="F18" i="13"/>
  <c r="F20" i="13"/>
  <c r="M10" i="14"/>
  <c r="M31" i="14" s="1"/>
  <c r="M12" i="14"/>
  <c r="L79" i="7"/>
  <c r="L57" i="7"/>
  <c r="L68" i="7"/>
  <c r="D43" i="11"/>
  <c r="D42" i="11"/>
  <c r="D44" i="11"/>
  <c r="K32" i="12"/>
  <c r="K77" i="7"/>
  <c r="M49" i="7"/>
  <c r="D24" i="16"/>
  <c r="I18" i="13"/>
  <c r="I20" i="13"/>
  <c r="L12" i="7"/>
  <c r="H18" i="10"/>
  <c r="H20" i="10"/>
  <c r="E10" i="11"/>
  <c r="E12" i="11"/>
  <c r="L54" i="7"/>
  <c r="G35" i="11"/>
  <c r="G31" i="11"/>
  <c r="J18" i="13"/>
  <c r="J20" i="13"/>
  <c r="K15" i="8"/>
  <c r="K25" i="8" s="1"/>
  <c r="K18" i="8"/>
  <c r="K34" i="8" s="1"/>
  <c r="K35" i="8" s="1"/>
  <c r="K17" i="8"/>
  <c r="K31" i="8" s="1"/>
  <c r="K32" i="8" s="1"/>
  <c r="K20" i="8"/>
  <c r="K40" i="8" s="1"/>
  <c r="K41" i="8" s="1"/>
  <c r="K19" i="8"/>
  <c r="K37" i="8" s="1"/>
  <c r="K38" i="8" s="1"/>
  <c r="K16" i="8"/>
  <c r="K28" i="8" s="1"/>
  <c r="K29" i="8" s="1"/>
  <c r="H12" i="7"/>
  <c r="H76" i="7"/>
  <c r="H82" i="7" s="1"/>
  <c r="G53" i="2" s="1"/>
  <c r="H65" i="7"/>
  <c r="H71" i="7" s="1"/>
  <c r="H88" i="7" s="1"/>
  <c r="E18" i="8"/>
  <c r="E34" i="8" s="1"/>
  <c r="E35" i="8" s="1"/>
  <c r="E17" i="8"/>
  <c r="E31" i="8" s="1"/>
  <c r="E32" i="8" s="1"/>
  <c r="D67" i="7"/>
  <c r="D78" i="7"/>
  <c r="F80" i="7"/>
  <c r="F69" i="7"/>
  <c r="F71" i="7" s="1"/>
  <c r="F88" i="7" s="1"/>
  <c r="F58" i="7"/>
  <c r="K20" i="10"/>
  <c r="I32" i="13"/>
  <c r="K12" i="7"/>
  <c r="K54" i="7"/>
  <c r="K76" i="7"/>
  <c r="M67" i="7"/>
  <c r="M56" i="7"/>
  <c r="L76" i="7"/>
  <c r="I20" i="12"/>
  <c r="D35" i="10"/>
  <c r="D34" i="10"/>
  <c r="D36" i="10"/>
  <c r="J18" i="10"/>
  <c r="J31" i="10" s="1"/>
  <c r="J20" i="10"/>
  <c r="K20" i="13"/>
  <c r="K18" i="13"/>
  <c r="K31" i="13" s="1"/>
  <c r="L65" i="7"/>
  <c r="L71" i="7" s="1"/>
  <c r="L88" i="7" s="1"/>
  <c r="M20" i="10"/>
  <c r="M18" i="10"/>
  <c r="L26" i="10"/>
  <c r="L31" i="10" s="1"/>
  <c r="L28" i="10"/>
  <c r="K26" i="11"/>
  <c r="F15" i="12"/>
  <c r="F19" i="12"/>
  <c r="F32" i="12" s="1"/>
  <c r="F18" i="15"/>
  <c r="F31" i="15" s="1"/>
  <c r="F20" i="15"/>
  <c r="F46" i="17"/>
  <c r="J67" i="7"/>
  <c r="J56" i="7"/>
  <c r="J60" i="7" s="1"/>
  <c r="J78" i="7"/>
  <c r="E71" i="7"/>
  <c r="E88" i="7" s="1"/>
  <c r="I69" i="7"/>
  <c r="I58" i="7"/>
  <c r="M11" i="10"/>
  <c r="M32" i="10" s="1"/>
  <c r="M7" i="10"/>
  <c r="E20" i="10"/>
  <c r="E18" i="10"/>
  <c r="E28" i="10"/>
  <c r="E26" i="10"/>
  <c r="G18" i="15"/>
  <c r="G20" i="15"/>
  <c r="D48" i="17"/>
  <c r="K65" i="7"/>
  <c r="H20" i="8"/>
  <c r="H40" i="8" s="1"/>
  <c r="H41" i="8" s="1"/>
  <c r="H18" i="8"/>
  <c r="H34" i="8" s="1"/>
  <c r="H35" i="8" s="1"/>
  <c r="H19" i="8"/>
  <c r="H37" i="8" s="1"/>
  <c r="H38" i="8" s="1"/>
  <c r="H16" i="8"/>
  <c r="H28" i="8" s="1"/>
  <c r="H29" i="8" s="1"/>
  <c r="E16" i="8"/>
  <c r="E28" i="8" s="1"/>
  <c r="E29" i="8" s="1"/>
  <c r="F19" i="10"/>
  <c r="F15" i="10"/>
  <c r="F27" i="10"/>
  <c r="F23" i="10"/>
  <c r="M35" i="11"/>
  <c r="M40" i="11" s="1"/>
  <c r="M31" i="11"/>
  <c r="D18" i="8"/>
  <c r="D34" i="8" s="1"/>
  <c r="D35" i="8" s="1"/>
  <c r="D15" i="8"/>
  <c r="D25" i="8" s="1"/>
  <c r="D20" i="8"/>
  <c r="D40" i="8" s="1"/>
  <c r="D41" i="8" s="1"/>
  <c r="I32" i="10"/>
  <c r="K26" i="12"/>
  <c r="K31" i="12" s="1"/>
  <c r="J15" i="8"/>
  <c r="J25" i="8" s="1"/>
  <c r="J16" i="8"/>
  <c r="J28" i="8" s="1"/>
  <c r="J29" i="8" s="1"/>
  <c r="J18" i="8"/>
  <c r="J34" i="8" s="1"/>
  <c r="J35" i="8" s="1"/>
  <c r="J17" i="8"/>
  <c r="J31" i="8" s="1"/>
  <c r="J32" i="8" s="1"/>
  <c r="J20" i="8"/>
  <c r="J40" i="8" s="1"/>
  <c r="J41" i="8" s="1"/>
  <c r="G76" i="7"/>
  <c r="G12" i="7"/>
  <c r="G54" i="7"/>
  <c r="I67" i="7"/>
  <c r="I56" i="7"/>
  <c r="I12" i="7"/>
  <c r="K69" i="7"/>
  <c r="K80" i="7"/>
  <c r="D34" i="13"/>
  <c r="D36" i="13"/>
  <c r="D35" i="13"/>
  <c r="H15" i="13"/>
  <c r="H19" i="13"/>
  <c r="L16" i="8"/>
  <c r="L28" i="8" s="1"/>
  <c r="L29" i="8" s="1"/>
  <c r="H27" i="10"/>
  <c r="H32" i="10" s="1"/>
  <c r="H23" i="10"/>
  <c r="L18" i="11"/>
  <c r="L20" i="11"/>
  <c r="G28" i="14"/>
  <c r="G26" i="14"/>
  <c r="L18" i="8"/>
  <c r="L34" i="8" s="1"/>
  <c r="L35" i="8" s="1"/>
  <c r="D17" i="8"/>
  <c r="D31" i="8" s="1"/>
  <c r="D32" i="8" s="1"/>
  <c r="I23" i="10"/>
  <c r="I27" i="10"/>
  <c r="H28" i="14"/>
  <c r="H26" i="14"/>
  <c r="M7" i="19"/>
  <c r="M71" i="18"/>
  <c r="I23" i="13"/>
  <c r="I27" i="13"/>
  <c r="M16" i="8"/>
  <c r="M28" i="8" s="1"/>
  <c r="M29" i="8" s="1"/>
  <c r="M18" i="8"/>
  <c r="M34" i="8" s="1"/>
  <c r="M35" i="8" s="1"/>
  <c r="M15" i="8"/>
  <c r="M25" i="8" s="1"/>
  <c r="M17" i="8"/>
  <c r="M31" i="8" s="1"/>
  <c r="M32" i="8" s="1"/>
  <c r="M20" i="8"/>
  <c r="M40" i="8" s="1"/>
  <c r="M41" i="8" s="1"/>
  <c r="J76" i="7"/>
  <c r="J12" i="7"/>
  <c r="L56" i="7"/>
  <c r="E15" i="11"/>
  <c r="E19" i="11"/>
  <c r="I28" i="14"/>
  <c r="I26" i="14"/>
  <c r="L23" i="13"/>
  <c r="L27" i="13"/>
  <c r="L32" i="13" s="1"/>
  <c r="I19" i="14"/>
  <c r="I32" i="14" s="1"/>
  <c r="I15" i="14"/>
  <c r="G7" i="15"/>
  <c r="G11" i="15"/>
  <c r="G32" i="15" s="1"/>
  <c r="H7" i="15"/>
  <c r="H11" i="15"/>
  <c r="H32" i="15" s="1"/>
  <c r="F32" i="10"/>
  <c r="M28" i="10"/>
  <c r="M26" i="10"/>
  <c r="I11" i="15"/>
  <c r="I32" i="15" s="1"/>
  <c r="I7" i="15"/>
  <c r="F5" i="19"/>
  <c r="F48" i="8"/>
  <c r="F49" i="7"/>
  <c r="E49" i="7"/>
  <c r="L67" i="7"/>
  <c r="F39" i="11"/>
  <c r="D19" i="8"/>
  <c r="D37" i="8" s="1"/>
  <c r="D38" i="8" s="1"/>
  <c r="H78" i="7"/>
  <c r="E19" i="8"/>
  <c r="E37" i="8" s="1"/>
  <c r="E38" i="8" s="1"/>
  <c r="H10" i="10"/>
  <c r="H12" i="10"/>
  <c r="H35" i="12"/>
  <c r="H34" i="12"/>
  <c r="J27" i="12"/>
  <c r="J32" i="12" s="1"/>
  <c r="J23" i="12"/>
  <c r="K32" i="13"/>
  <c r="F28" i="14"/>
  <c r="F26" i="14"/>
  <c r="D49" i="7"/>
  <c r="H15" i="11"/>
  <c r="H19" i="11"/>
  <c r="H5" i="19"/>
  <c r="H48" i="8"/>
  <c r="H49" i="7"/>
  <c r="I78" i="7"/>
  <c r="I82" i="7" s="1"/>
  <c r="H53" i="2" s="1"/>
  <c r="J19" i="8"/>
  <c r="J37" i="8" s="1"/>
  <c r="J38" i="8" s="1"/>
  <c r="J39" i="11"/>
  <c r="F36" i="11"/>
  <c r="F34" i="11"/>
  <c r="M34" i="12"/>
  <c r="M35" i="12"/>
  <c r="L69" i="7"/>
  <c r="L58" i="7"/>
  <c r="L80" i="7"/>
  <c r="M82" i="7"/>
  <c r="L53" i="2" s="1"/>
  <c r="F12" i="10"/>
  <c r="F10" i="10"/>
  <c r="K32" i="10"/>
  <c r="K34" i="10" s="1"/>
  <c r="E19" i="10"/>
  <c r="E32" i="10" s="1"/>
  <c r="I12" i="12"/>
  <c r="I10" i="12"/>
  <c r="I31" i="12" s="1"/>
  <c r="I5" i="19"/>
  <c r="I48" i="8"/>
  <c r="G77" i="7"/>
  <c r="G66" i="7"/>
  <c r="G71" i="7" s="1"/>
  <c r="G88" i="7" s="1"/>
  <c r="I49" i="7"/>
  <c r="E58" i="7"/>
  <c r="E60" i="7" s="1"/>
  <c r="K78" i="7"/>
  <c r="J5" i="19"/>
  <c r="J48" i="8"/>
  <c r="K58" i="7"/>
  <c r="M19" i="8"/>
  <c r="M37" i="8" s="1"/>
  <c r="M38" i="8" s="1"/>
  <c r="I34" i="11"/>
  <c r="I36" i="11"/>
  <c r="J18" i="14"/>
  <c r="L23" i="11"/>
  <c r="L27" i="11"/>
  <c r="L40" i="11" s="1"/>
  <c r="J34" i="11"/>
  <c r="J36" i="11"/>
  <c r="H26" i="13"/>
  <c r="H28" i="13"/>
  <c r="F47" i="17"/>
  <c r="J67" i="18"/>
  <c r="L70" i="18"/>
  <c r="G33" i="17"/>
  <c r="G79" i="17"/>
  <c r="G93" i="17" s="1"/>
  <c r="G10" i="16" s="1"/>
  <c r="G7" i="19"/>
  <c r="C13" i="24"/>
  <c r="F16" i="8"/>
  <c r="F28" i="8" s="1"/>
  <c r="F29" i="8" s="1"/>
  <c r="M28" i="11"/>
  <c r="G31" i="12"/>
  <c r="E26" i="14"/>
  <c r="G16" i="8"/>
  <c r="G28" i="8" s="1"/>
  <c r="G29" i="8" s="1"/>
  <c r="D71" i="7"/>
  <c r="D88" i="7" s="1"/>
  <c r="D57" i="7"/>
  <c r="D60" i="7" s="1"/>
  <c r="E78" i="7"/>
  <c r="D34" i="14"/>
  <c r="D36" i="14"/>
  <c r="I20" i="8"/>
  <c r="I40" i="8" s="1"/>
  <c r="I41" i="8" s="1"/>
  <c r="I19" i="8"/>
  <c r="I37" i="8" s="1"/>
  <c r="I38" i="8" s="1"/>
  <c r="I54" i="7"/>
  <c r="I60" i="7" s="1"/>
  <c r="I10" i="10"/>
  <c r="L19" i="12"/>
  <c r="H7" i="13"/>
  <c r="H11" i="13"/>
  <c r="H31" i="14"/>
  <c r="L12" i="15"/>
  <c r="E47" i="17"/>
  <c r="H7" i="19"/>
  <c r="H71" i="18"/>
  <c r="L7" i="19"/>
  <c r="K31" i="14"/>
  <c r="G19" i="14"/>
  <c r="G15" i="14"/>
  <c r="M54" i="7"/>
  <c r="M60" i="7" s="1"/>
  <c r="I65" i="7"/>
  <c r="M65" i="7"/>
  <c r="I17" i="8"/>
  <c r="I31" i="8" s="1"/>
  <c r="I32" i="8" s="1"/>
  <c r="G40" i="11"/>
  <c r="H31" i="11"/>
  <c r="H35" i="11"/>
  <c r="H40" i="11" s="1"/>
  <c r="L32" i="12"/>
  <c r="H27" i="13"/>
  <c r="J11" i="15"/>
  <c r="J32" i="15" s="1"/>
  <c r="J7" i="15"/>
  <c r="G58" i="7"/>
  <c r="M20" i="11"/>
  <c r="E28" i="12"/>
  <c r="E26" i="12"/>
  <c r="E20" i="13"/>
  <c r="K7" i="15"/>
  <c r="K11" i="15"/>
  <c r="J10" i="14"/>
  <c r="J12" i="14"/>
  <c r="K55" i="7"/>
  <c r="H58" i="7"/>
  <c r="F79" i="7"/>
  <c r="F82" i="7" s="1"/>
  <c r="E53" i="2" s="1"/>
  <c r="G20" i="10"/>
  <c r="D12" i="6"/>
  <c r="E12" i="6" s="1"/>
  <c r="F12" i="6" s="1"/>
  <c r="G12" i="6" s="1"/>
  <c r="H12" i="6" s="1"/>
  <c r="I12" i="6" s="1"/>
  <c r="J12" i="6" s="1"/>
  <c r="K12" i="6" s="1"/>
  <c r="L12" i="6" s="1"/>
  <c r="M12" i="6" s="1"/>
  <c r="M68" i="7"/>
  <c r="L17" i="8"/>
  <c r="L31" i="8" s="1"/>
  <c r="L32" i="8" s="1"/>
  <c r="K7" i="11"/>
  <c r="G20" i="13"/>
  <c r="L32" i="14"/>
  <c r="L35" i="14" s="1"/>
  <c r="M7" i="15"/>
  <c r="M11" i="15"/>
  <c r="M32" i="15" s="1"/>
  <c r="L20" i="8"/>
  <c r="L40" i="8" s="1"/>
  <c r="L41" i="8" s="1"/>
  <c r="M12" i="7"/>
  <c r="J58" i="7"/>
  <c r="D48" i="8"/>
  <c r="J32" i="10"/>
  <c r="I20" i="10"/>
  <c r="M32" i="14"/>
  <c r="D31" i="15"/>
  <c r="F15" i="8"/>
  <c r="F25" i="8" s="1"/>
  <c r="G18" i="8"/>
  <c r="G34" i="8" s="1"/>
  <c r="G35" i="8" s="1"/>
  <c r="E40" i="11"/>
  <c r="L26" i="12"/>
  <c r="L31" i="12" s="1"/>
  <c r="L28" i="12"/>
  <c r="E7" i="13"/>
  <c r="D26" i="16"/>
  <c r="J23" i="13"/>
  <c r="H77" i="7"/>
  <c r="H55" i="7"/>
  <c r="H60" i="7" s="1"/>
  <c r="K79" i="7"/>
  <c r="F56" i="7"/>
  <c r="F60" i="7" s="1"/>
  <c r="G69" i="7"/>
  <c r="D77" i="7"/>
  <c r="D82" i="7" s="1"/>
  <c r="C53" i="2" s="1"/>
  <c r="G15" i="8"/>
  <c r="G25" i="8" s="1"/>
  <c r="G48" i="8"/>
  <c r="J12" i="12"/>
  <c r="F11" i="14"/>
  <c r="F32" i="14" s="1"/>
  <c r="F7" i="14"/>
  <c r="J18" i="12"/>
  <c r="G10" i="13"/>
  <c r="G12" i="13"/>
  <c r="M26" i="13"/>
  <c r="M28" i="13"/>
  <c r="G11" i="14"/>
  <c r="G32" i="14" s="1"/>
  <c r="G7" i="14"/>
  <c r="L19" i="15"/>
  <c r="L32" i="15" s="1"/>
  <c r="L15" i="15"/>
  <c r="D12" i="16"/>
  <c r="D20" i="16" s="1"/>
  <c r="D16" i="16"/>
  <c r="F32" i="17"/>
  <c r="H10" i="11"/>
  <c r="H12" i="11"/>
  <c r="H23" i="11"/>
  <c r="H27" i="11"/>
  <c r="I7" i="13"/>
  <c r="E27" i="13"/>
  <c r="E32" i="13" s="1"/>
  <c r="E23" i="13"/>
  <c r="E20" i="14"/>
  <c r="E18" i="14"/>
  <c r="E31" i="14" s="1"/>
  <c r="D35" i="14"/>
  <c r="D32" i="15"/>
  <c r="D28" i="16" s="1"/>
  <c r="L23" i="15"/>
  <c r="L15" i="8"/>
  <c r="L25" i="8" s="1"/>
  <c r="G27" i="10"/>
  <c r="G32" i="10" s="1"/>
  <c r="I27" i="11"/>
  <c r="I40" i="11" s="1"/>
  <c r="I23" i="11"/>
  <c r="F27" i="13"/>
  <c r="F32" i="13" s="1"/>
  <c r="F23" i="13"/>
  <c r="I15" i="8"/>
  <c r="I25" i="8" s="1"/>
  <c r="K48" i="8"/>
  <c r="J40" i="11"/>
  <c r="E15" i="12"/>
  <c r="D34" i="12"/>
  <c r="G27" i="13"/>
  <c r="G32" i="13" s="1"/>
  <c r="G23" i="13"/>
  <c r="E28" i="15"/>
  <c r="E26" i="15"/>
  <c r="E31" i="15" s="1"/>
  <c r="E52" i="17"/>
  <c r="E46" i="17"/>
  <c r="K7" i="19"/>
  <c r="E34" i="17"/>
  <c r="K23" i="15"/>
  <c r="K27" i="15"/>
  <c r="E80" i="17"/>
  <c r="E94" i="17" s="1"/>
  <c r="E11" i="16" s="1"/>
  <c r="E32" i="15"/>
  <c r="I20" i="15"/>
  <c r="I67" i="18"/>
  <c r="K15" i="15"/>
  <c r="K19" i="15"/>
  <c r="E6" i="16"/>
  <c r="E76" i="17"/>
  <c r="E90" i="17" s="1"/>
  <c r="E7" i="16" s="1"/>
  <c r="E30" i="17"/>
  <c r="G14" i="26"/>
  <c r="D31" i="17"/>
  <c r="D8" i="16"/>
  <c r="E15" i="25"/>
  <c r="C21" i="24"/>
  <c r="D17" i="25"/>
  <c r="C21" i="22" s="1"/>
  <c r="E39" i="20"/>
  <c r="E70" i="18"/>
  <c r="C12" i="24"/>
  <c r="C17" i="23"/>
  <c r="L39" i="20"/>
  <c r="D38" i="17"/>
  <c r="I68" i="18"/>
  <c r="H7" i="22" s="1"/>
  <c r="C22" i="26" s="1"/>
  <c r="D67" i="18"/>
  <c r="E67" i="18"/>
  <c r="G69" i="18"/>
  <c r="G71" i="18" s="1"/>
  <c r="F67" i="18"/>
  <c r="H69" i="18"/>
  <c r="H39" i="20"/>
  <c r="J24" i="23"/>
  <c r="M39" i="20"/>
  <c r="C25" i="24"/>
  <c r="E22" i="25"/>
  <c r="C37" i="26"/>
  <c r="C22" i="23"/>
  <c r="K70" i="18"/>
  <c r="K71" i="18" s="1"/>
  <c r="E22" i="23"/>
  <c r="E24" i="23" s="1"/>
  <c r="F20" i="25"/>
  <c r="F22" i="25" s="1"/>
  <c r="F32" i="15"/>
  <c r="E29" i="17"/>
  <c r="L68" i="18"/>
  <c r="K7" i="22" s="1"/>
  <c r="F39" i="20"/>
  <c r="H24" i="23"/>
  <c r="G35" i="10" l="1"/>
  <c r="G34" i="10"/>
  <c r="I51" i="2"/>
  <c r="F87" i="7"/>
  <c r="F17" i="19" s="1"/>
  <c r="F94" i="7"/>
  <c r="E51" i="2"/>
  <c r="E35" i="15"/>
  <c r="E34" i="15"/>
  <c r="H94" i="7"/>
  <c r="H87" i="7"/>
  <c r="H17" i="19" s="1"/>
  <c r="G51" i="2"/>
  <c r="E87" i="7"/>
  <c r="E17" i="19" s="1"/>
  <c r="E94" i="7"/>
  <c r="D51" i="2"/>
  <c r="J89" i="7"/>
  <c r="J16" i="19"/>
  <c r="I52" i="2"/>
  <c r="J34" i="10"/>
  <c r="J35" i="10"/>
  <c r="E34" i="14"/>
  <c r="E35" i="14"/>
  <c r="E27" i="16"/>
  <c r="G16" i="19"/>
  <c r="F52" i="2"/>
  <c r="G89" i="7"/>
  <c r="D12" i="26"/>
  <c r="D9" i="26"/>
  <c r="L35" i="12"/>
  <c r="L34" i="12"/>
  <c r="K34" i="13"/>
  <c r="K35" i="13"/>
  <c r="F12" i="14"/>
  <c r="F10" i="14"/>
  <c r="F31" i="14" s="1"/>
  <c r="K32" i="15"/>
  <c r="D16" i="19"/>
  <c r="E90" i="7"/>
  <c r="E18" i="19" s="1"/>
  <c r="H90" i="7"/>
  <c r="H18" i="19" s="1"/>
  <c r="G19" i="22" s="1"/>
  <c r="G7" i="23" s="1"/>
  <c r="G90" i="7"/>
  <c r="G18" i="19" s="1"/>
  <c r="D90" i="7"/>
  <c r="D89" i="7"/>
  <c r="H91" i="7"/>
  <c r="F91" i="7"/>
  <c r="E91" i="7"/>
  <c r="F90" i="7"/>
  <c r="F18" i="19" s="1"/>
  <c r="E19" i="22" s="1"/>
  <c r="E7" i="23" s="1"/>
  <c r="C52" i="2"/>
  <c r="G91" i="7"/>
  <c r="D91" i="7"/>
  <c r="H12" i="15"/>
  <c r="H10" i="15"/>
  <c r="H31" i="15" s="1"/>
  <c r="I26" i="13"/>
  <c r="I28" i="13"/>
  <c r="K10" i="15"/>
  <c r="K12" i="15"/>
  <c r="K34" i="14"/>
  <c r="K35" i="14"/>
  <c r="F28" i="10"/>
  <c r="F26" i="10"/>
  <c r="K6" i="19"/>
  <c r="K46" i="8"/>
  <c r="K26" i="8"/>
  <c r="H26" i="10"/>
  <c r="H28" i="10"/>
  <c r="H31" i="10"/>
  <c r="K82" i="7"/>
  <c r="J53" i="2" s="1"/>
  <c r="F75" i="17"/>
  <c r="F89" i="17" s="1"/>
  <c r="F29" i="17" s="1"/>
  <c r="E16" i="25"/>
  <c r="E17" i="25"/>
  <c r="D21" i="22" s="1"/>
  <c r="G35" i="12"/>
  <c r="G34" i="12"/>
  <c r="G10" i="15"/>
  <c r="G31" i="15" s="1"/>
  <c r="G12" i="15"/>
  <c r="F20" i="10"/>
  <c r="F18" i="10"/>
  <c r="F31" i="10" s="1"/>
  <c r="K60" i="7"/>
  <c r="E7" i="19"/>
  <c r="E71" i="18"/>
  <c r="E28" i="13"/>
  <c r="E26" i="13"/>
  <c r="G6" i="19"/>
  <c r="G26" i="8"/>
  <c r="G46" i="8"/>
  <c r="L71" i="18"/>
  <c r="I18" i="14"/>
  <c r="I31" i="14" s="1"/>
  <c r="I20" i="14"/>
  <c r="G34" i="11"/>
  <c r="G39" i="11" s="1"/>
  <c r="G36" i="11"/>
  <c r="D8" i="26"/>
  <c r="F80" i="17"/>
  <c r="F94" i="17" s="1"/>
  <c r="F11" i="16" s="1"/>
  <c r="F28" i="16" s="1"/>
  <c r="L34" i="14"/>
  <c r="M10" i="10"/>
  <c r="M31" i="10" s="1"/>
  <c r="M12" i="10"/>
  <c r="F7" i="19"/>
  <c r="F71" i="18"/>
  <c r="D17" i="16"/>
  <c r="D45" i="17"/>
  <c r="D13" i="24"/>
  <c r="E13" i="24" s="1"/>
  <c r="F13" i="24" s="1"/>
  <c r="G13" i="24" s="1"/>
  <c r="H13" i="24" s="1"/>
  <c r="I13" i="24" s="1"/>
  <c r="J13" i="24" s="1"/>
  <c r="K13" i="24" s="1"/>
  <c r="L13" i="24" s="1"/>
  <c r="F35" i="15"/>
  <c r="F34" i="15"/>
  <c r="D11" i="26"/>
  <c r="M10" i="15"/>
  <c r="M31" i="15" s="1"/>
  <c r="M12" i="15"/>
  <c r="L28" i="13"/>
  <c r="L26" i="13"/>
  <c r="L31" i="13" s="1"/>
  <c r="D35" i="17"/>
  <c r="E77" i="17"/>
  <c r="E91" i="17" s="1"/>
  <c r="J19" i="19"/>
  <c r="J42" i="11"/>
  <c r="J43" i="11"/>
  <c r="I26" i="10"/>
  <c r="I28" i="10"/>
  <c r="F20" i="12"/>
  <c r="F18" i="12"/>
  <c r="F31" i="12" s="1"/>
  <c r="L60" i="7"/>
  <c r="M34" i="14"/>
  <c r="M35" i="14"/>
  <c r="H46" i="8"/>
  <c r="H6" i="19"/>
  <c r="D7" i="19"/>
  <c r="D71" i="18"/>
  <c r="H28" i="11"/>
  <c r="H26" i="11"/>
  <c r="H39" i="11" s="1"/>
  <c r="F43" i="11"/>
  <c r="F42" i="11"/>
  <c r="K35" i="10"/>
  <c r="G26" i="13"/>
  <c r="G28" i="13"/>
  <c r="K12" i="11"/>
  <c r="K10" i="11"/>
  <c r="K39" i="11" s="1"/>
  <c r="J10" i="15"/>
  <c r="J31" i="15" s="1"/>
  <c r="J12" i="15"/>
  <c r="H35" i="14"/>
  <c r="H34" i="14"/>
  <c r="G60" i="7"/>
  <c r="K71" i="7"/>
  <c r="K88" i="7" s="1"/>
  <c r="M90" i="7" s="1"/>
  <c r="M18" i="19" s="1"/>
  <c r="F16" i="19"/>
  <c r="E52" i="2"/>
  <c r="F89" i="7"/>
  <c r="E46" i="8"/>
  <c r="I28" i="11"/>
  <c r="I26" i="11"/>
  <c r="I39" i="11" s="1"/>
  <c r="D18" i="16"/>
  <c r="I12" i="13"/>
  <c r="I10" i="13"/>
  <c r="I31" i="13" s="1"/>
  <c r="F76" i="17"/>
  <c r="F90" i="17" s="1"/>
  <c r="F7" i="16" s="1"/>
  <c r="F30" i="17"/>
  <c r="D49" i="17"/>
  <c r="H32" i="13"/>
  <c r="G47" i="17"/>
  <c r="L34" i="10"/>
  <c r="L35" i="10"/>
  <c r="C31" i="23"/>
  <c r="D31" i="23" s="1"/>
  <c r="E31" i="23" s="1"/>
  <c r="F31" i="23" s="1"/>
  <c r="G31" i="23" s="1"/>
  <c r="H31" i="23" s="1"/>
  <c r="I31" i="23" s="1"/>
  <c r="J31" i="23" s="1"/>
  <c r="K31" i="23" s="1"/>
  <c r="L31" i="23" s="1"/>
  <c r="C24" i="23"/>
  <c r="E44" i="17"/>
  <c r="G78" i="17"/>
  <c r="G92" i="17" s="1"/>
  <c r="G9" i="16" s="1"/>
  <c r="G26" i="16" s="1"/>
  <c r="G32" i="17"/>
  <c r="J26" i="13"/>
  <c r="J31" i="13" s="1"/>
  <c r="J28" i="13"/>
  <c r="H12" i="13"/>
  <c r="H10" i="13"/>
  <c r="H79" i="17"/>
  <c r="H93" i="17" s="1"/>
  <c r="H10" i="16" s="1"/>
  <c r="H33" i="17"/>
  <c r="G82" i="7"/>
  <c r="F53" i="2" s="1"/>
  <c r="M31" i="13"/>
  <c r="E6" i="19"/>
  <c r="H19" i="19"/>
  <c r="L20" i="15"/>
  <c r="L18" i="15"/>
  <c r="I31" i="10"/>
  <c r="D12" i="24"/>
  <c r="C14" i="24"/>
  <c r="K20" i="15"/>
  <c r="K18" i="15"/>
  <c r="I71" i="18"/>
  <c r="I7" i="19"/>
  <c r="E43" i="17"/>
  <c r="E20" i="12"/>
  <c r="E18" i="12"/>
  <c r="E31" i="12" s="1"/>
  <c r="C5" i="22"/>
  <c r="D53" i="17"/>
  <c r="D55" i="17" s="1"/>
  <c r="D19" i="16"/>
  <c r="D15" i="16"/>
  <c r="E10" i="13"/>
  <c r="E31" i="13" s="1"/>
  <c r="E12" i="13"/>
  <c r="J7" i="19"/>
  <c r="J71" i="18"/>
  <c r="E18" i="11"/>
  <c r="E39" i="11" s="1"/>
  <c r="E20" i="11"/>
  <c r="L16" i="19"/>
  <c r="L89" i="7"/>
  <c r="K52" i="2"/>
  <c r="D25" i="16"/>
  <c r="D29" i="16" s="1"/>
  <c r="I19" i="19"/>
  <c r="H18" i="11"/>
  <c r="H20" i="11"/>
  <c r="I6" i="19"/>
  <c r="I46" i="8"/>
  <c r="I26" i="8"/>
  <c r="I94" i="7"/>
  <c r="I87" i="7"/>
  <c r="I17" i="19" s="1"/>
  <c r="H51" i="2"/>
  <c r="C10" i="26"/>
  <c r="E10" i="26" s="1"/>
  <c r="F10" i="26" s="1"/>
  <c r="I35" i="12"/>
  <c r="I34" i="12"/>
  <c r="I10" i="15"/>
  <c r="I31" i="15" s="1"/>
  <c r="I12" i="15"/>
  <c r="E31" i="10"/>
  <c r="F28" i="13"/>
  <c r="F26" i="13"/>
  <c r="F31" i="13" s="1"/>
  <c r="G12" i="14"/>
  <c r="G10" i="14"/>
  <c r="G31" i="14" s="1"/>
  <c r="G27" i="16" s="1"/>
  <c r="H34" i="11"/>
  <c r="H36" i="11"/>
  <c r="D13" i="26"/>
  <c r="J82" i="7"/>
  <c r="I53" i="2" s="1"/>
  <c r="J6" i="19"/>
  <c r="J26" i="8"/>
  <c r="J46" i="8"/>
  <c r="H16" i="19"/>
  <c r="G52" i="2"/>
  <c r="H89" i="7"/>
  <c r="K35" i="12"/>
  <c r="K34" i="12"/>
  <c r="M71" i="7"/>
  <c r="M88" i="7" s="1"/>
  <c r="E36" i="14"/>
  <c r="F36" i="14" s="1"/>
  <c r="M46" i="8"/>
  <c r="M26" i="8"/>
  <c r="M6" i="19"/>
  <c r="E48" i="17"/>
  <c r="D34" i="15"/>
  <c r="D35" i="15"/>
  <c r="D36" i="15"/>
  <c r="E36" i="15" s="1"/>
  <c r="F36" i="15" s="1"/>
  <c r="G36" i="15" s="1"/>
  <c r="H36" i="15" s="1"/>
  <c r="I71" i="7"/>
  <c r="I88" i="7" s="1"/>
  <c r="M91" i="7" s="1"/>
  <c r="J28" i="12"/>
  <c r="J26" i="12"/>
  <c r="J31" i="12" s="1"/>
  <c r="D6" i="19"/>
  <c r="D26" i="8"/>
  <c r="D46" i="8"/>
  <c r="F6" i="19"/>
  <c r="F46" i="8"/>
  <c r="F26" i="8"/>
  <c r="L6" i="19"/>
  <c r="L46" i="8"/>
  <c r="L26" i="8"/>
  <c r="M87" i="7"/>
  <c r="M17" i="19" s="1"/>
  <c r="M94" i="7"/>
  <c r="L51" i="2"/>
  <c r="D25" i="24"/>
  <c r="E28" i="16"/>
  <c r="G31" i="13"/>
  <c r="K26" i="15"/>
  <c r="K28" i="15"/>
  <c r="L26" i="15"/>
  <c r="L28" i="15"/>
  <c r="J31" i="14"/>
  <c r="G20" i="14"/>
  <c r="G18" i="14"/>
  <c r="D87" i="7"/>
  <c r="D17" i="19" s="1"/>
  <c r="D94" i="7"/>
  <c r="C51" i="2"/>
  <c r="L28" i="11"/>
  <c r="L26" i="11"/>
  <c r="L39" i="11" s="1"/>
  <c r="H18" i="13"/>
  <c r="H20" i="13"/>
  <c r="M34" i="11"/>
  <c r="M39" i="11" s="1"/>
  <c r="M36" i="11"/>
  <c r="E16" i="19"/>
  <c r="J90" i="7"/>
  <c r="J18" i="19" s="1"/>
  <c r="E89" i="7"/>
  <c r="D52" i="2"/>
  <c r="L82" i="7"/>
  <c r="K53" i="2" s="1"/>
  <c r="E43" i="11" l="1"/>
  <c r="E42" i="11"/>
  <c r="E44" i="11"/>
  <c r="F44" i="11" s="1"/>
  <c r="G44" i="11" s="1"/>
  <c r="H44" i="11" s="1"/>
  <c r="I44" i="11" s="1"/>
  <c r="J44" i="11" s="1"/>
  <c r="K44" i="11" s="1"/>
  <c r="L44" i="11" s="1"/>
  <c r="M44" i="11" s="1"/>
  <c r="E24" i="16"/>
  <c r="C6" i="22"/>
  <c r="C8" i="22" s="1"/>
  <c r="D33" i="16"/>
  <c r="D32" i="16"/>
  <c r="G75" i="17"/>
  <c r="G89" i="17" s="1"/>
  <c r="G29" i="17"/>
  <c r="L42" i="11"/>
  <c r="L43" i="11"/>
  <c r="L41" i="22"/>
  <c r="M99" i="7"/>
  <c r="L19" i="22"/>
  <c r="L7" i="23" s="1"/>
  <c r="J34" i="13"/>
  <c r="J35" i="13"/>
  <c r="H42" i="11"/>
  <c r="H43" i="11"/>
  <c r="F35" i="10"/>
  <c r="F34" i="10"/>
  <c r="E8" i="16"/>
  <c r="E95" i="17"/>
  <c r="L47" i="8"/>
  <c r="L49" i="8"/>
  <c r="G36" i="14"/>
  <c r="H36" i="14" s="1"/>
  <c r="I36" i="14" s="1"/>
  <c r="J36" i="14" s="1"/>
  <c r="K36" i="14" s="1"/>
  <c r="L36" i="14" s="1"/>
  <c r="M36" i="14" s="1"/>
  <c r="E35" i="10"/>
  <c r="E34" i="10"/>
  <c r="L31" i="15"/>
  <c r="D61" i="17"/>
  <c r="D39" i="17"/>
  <c r="F34" i="17"/>
  <c r="F35" i="14"/>
  <c r="F34" i="14"/>
  <c r="D12" i="19"/>
  <c r="K14" i="2"/>
  <c r="L9" i="19"/>
  <c r="L19" i="19"/>
  <c r="M16" i="19"/>
  <c r="L52" i="2"/>
  <c r="M89" i="7"/>
  <c r="E31" i="17"/>
  <c r="D14" i="26"/>
  <c r="M9" i="19"/>
  <c r="L14" i="2"/>
  <c r="M19" i="19"/>
  <c r="G76" i="17"/>
  <c r="G90" i="17" s="1"/>
  <c r="G7" i="16" s="1"/>
  <c r="F15" i="25"/>
  <c r="D21" i="24"/>
  <c r="D27" i="2"/>
  <c r="H35" i="15"/>
  <c r="H34" i="15"/>
  <c r="E23" i="16"/>
  <c r="F34" i="13"/>
  <c r="F35" i="13"/>
  <c r="L35" i="13"/>
  <c r="L34" i="13"/>
  <c r="I42" i="22"/>
  <c r="I32" i="23"/>
  <c r="J100" i="7"/>
  <c r="K43" i="11"/>
  <c r="K42" i="11"/>
  <c r="J14" i="19"/>
  <c r="I50" i="2"/>
  <c r="D41" i="22"/>
  <c r="E99" i="7"/>
  <c r="M35" i="13"/>
  <c r="M34" i="13"/>
  <c r="C11" i="26"/>
  <c r="E11" i="26" s="1"/>
  <c r="F11" i="26" s="1"/>
  <c r="I35" i="13"/>
  <c r="I34" i="13"/>
  <c r="D49" i="8"/>
  <c r="D47" i="8"/>
  <c r="G42" i="11"/>
  <c r="G43" i="11"/>
  <c r="C13" i="26"/>
  <c r="E13" i="26" s="1"/>
  <c r="F13" i="26" s="1"/>
  <c r="I34" i="15"/>
  <c r="I35" i="15"/>
  <c r="E34" i="13"/>
  <c r="E35" i="13"/>
  <c r="D57" i="17"/>
  <c r="C13" i="23" s="1"/>
  <c r="D56" i="17"/>
  <c r="I79" i="17"/>
  <c r="I93" i="17" s="1"/>
  <c r="I10" i="16" s="1"/>
  <c r="M35" i="15"/>
  <c r="M34" i="15"/>
  <c r="F6" i="16"/>
  <c r="I91" i="7"/>
  <c r="F49" i="8"/>
  <c r="F47" i="8"/>
  <c r="C9" i="26"/>
  <c r="E9" i="26" s="1"/>
  <c r="F9" i="26" s="1"/>
  <c r="I42" i="11"/>
  <c r="I43" i="11"/>
  <c r="C12" i="26"/>
  <c r="E12" i="26" s="1"/>
  <c r="F12" i="26" s="1"/>
  <c r="I35" i="14"/>
  <c r="I34" i="14"/>
  <c r="E36" i="10"/>
  <c r="F36" i="10" s="1"/>
  <c r="G36" i="10" s="1"/>
  <c r="H36" i="10" s="1"/>
  <c r="I36" i="10" s="1"/>
  <c r="J36" i="10" s="1"/>
  <c r="K36" i="10" s="1"/>
  <c r="L36" i="10" s="1"/>
  <c r="M36" i="10" s="1"/>
  <c r="J91" i="7"/>
  <c r="L91" i="7"/>
  <c r="C14" i="2"/>
  <c r="C40" i="2"/>
  <c r="C36" i="26"/>
  <c r="D9" i="19"/>
  <c r="D19" i="19"/>
  <c r="H31" i="13"/>
  <c r="F26" i="16"/>
  <c r="G32" i="23"/>
  <c r="G42" i="22"/>
  <c r="H100" i="7"/>
  <c r="E49" i="8"/>
  <c r="E47" i="8"/>
  <c r="H9" i="19"/>
  <c r="G14" i="2"/>
  <c r="G49" i="8"/>
  <c r="G47" i="8"/>
  <c r="H12" i="19"/>
  <c r="G12" i="22" s="1"/>
  <c r="G13" i="2" s="1"/>
  <c r="F44" i="17"/>
  <c r="I12" i="19"/>
  <c r="C9" i="22"/>
  <c r="C8" i="23"/>
  <c r="C14" i="22"/>
  <c r="C13" i="22"/>
  <c r="C9" i="2"/>
  <c r="C29" i="2" s="1"/>
  <c r="H47" i="17"/>
  <c r="H27" i="16"/>
  <c r="G34" i="13"/>
  <c r="G35" i="13"/>
  <c r="J49" i="8"/>
  <c r="J47" i="8"/>
  <c r="I49" i="8"/>
  <c r="I47" i="8"/>
  <c r="H35" i="10"/>
  <c r="H34" i="10"/>
  <c r="E26" i="16"/>
  <c r="M12" i="19"/>
  <c r="L12" i="22" s="1"/>
  <c r="L13" i="2" s="1"/>
  <c r="D14" i="2"/>
  <c r="E9" i="19"/>
  <c r="E19" i="19"/>
  <c r="E12" i="19" s="1"/>
  <c r="D12" i="22" s="1"/>
  <c r="D13" i="2" s="1"/>
  <c r="J34" i="12"/>
  <c r="J35" i="12"/>
  <c r="D19" i="22"/>
  <c r="D7" i="23" s="1"/>
  <c r="I16" i="19"/>
  <c r="H52" i="2"/>
  <c r="I89" i="7"/>
  <c r="I9" i="19"/>
  <c r="H14" i="2"/>
  <c r="E35" i="12"/>
  <c r="E34" i="12"/>
  <c r="E36" i="12"/>
  <c r="F36" i="12" s="1"/>
  <c r="G36" i="12" s="1"/>
  <c r="H36" i="12" s="1"/>
  <c r="I36" i="12" s="1"/>
  <c r="J36" i="12" s="1"/>
  <c r="K36" i="12" s="1"/>
  <c r="L36" i="12" s="1"/>
  <c r="M36" i="12" s="1"/>
  <c r="F14" i="19"/>
  <c r="E50" i="2"/>
  <c r="H49" i="8"/>
  <c r="H47" i="8"/>
  <c r="G9" i="19"/>
  <c r="F14" i="2"/>
  <c r="G19" i="19"/>
  <c r="I90" i="7"/>
  <c r="I18" i="19" s="1"/>
  <c r="E14" i="2"/>
  <c r="F9" i="19"/>
  <c r="I36" i="15"/>
  <c r="J36" i="15" s="1"/>
  <c r="I14" i="2"/>
  <c r="J9" i="19"/>
  <c r="F19" i="19"/>
  <c r="H78" i="17"/>
  <c r="H92" i="17" s="1"/>
  <c r="H9" i="16" s="1"/>
  <c r="E41" i="22"/>
  <c r="F99" i="7"/>
  <c r="G46" i="17"/>
  <c r="K90" i="7"/>
  <c r="K18" i="19" s="1"/>
  <c r="J34" i="14"/>
  <c r="J35" i="14"/>
  <c r="H14" i="19"/>
  <c r="G50" i="2"/>
  <c r="E14" i="19"/>
  <c r="D50" i="2"/>
  <c r="I41" i="22"/>
  <c r="J99" i="7"/>
  <c r="I19" i="22"/>
  <c r="I7" i="23" s="1"/>
  <c r="E25" i="24"/>
  <c r="E42" i="22"/>
  <c r="E32" i="23"/>
  <c r="F100" i="7"/>
  <c r="L94" i="7"/>
  <c r="L87" i="7"/>
  <c r="L17" i="19" s="1"/>
  <c r="L12" i="19" s="1"/>
  <c r="K12" i="22" s="1"/>
  <c r="K13" i="2" s="1"/>
  <c r="K51" i="2"/>
  <c r="K47" i="8"/>
  <c r="K49" i="8"/>
  <c r="D32" i="23"/>
  <c r="D42" i="22"/>
  <c r="E100" i="7"/>
  <c r="K16" i="19"/>
  <c r="K89" i="7"/>
  <c r="J52" i="2"/>
  <c r="F35" i="12"/>
  <c r="F34" i="12"/>
  <c r="G87" i="7"/>
  <c r="G17" i="19" s="1"/>
  <c r="G12" i="19" s="1"/>
  <c r="F12" i="22" s="1"/>
  <c r="F13" i="2" s="1"/>
  <c r="G94" i="7"/>
  <c r="F51" i="2"/>
  <c r="F27" i="16"/>
  <c r="D14" i="19"/>
  <c r="C50" i="2"/>
  <c r="F12" i="19"/>
  <c r="E12" i="22" s="1"/>
  <c r="E13" i="2" s="1"/>
  <c r="K9" i="19"/>
  <c r="J14" i="2"/>
  <c r="K19" i="19"/>
  <c r="M42" i="11"/>
  <c r="M43" i="11"/>
  <c r="F24" i="16"/>
  <c r="K91" i="7"/>
  <c r="G14" i="19"/>
  <c r="F50" i="2"/>
  <c r="K87" i="7"/>
  <c r="K17" i="19" s="1"/>
  <c r="K94" i="7"/>
  <c r="J51" i="2"/>
  <c r="E36" i="13"/>
  <c r="F36" i="13" s="1"/>
  <c r="G36" i="13" s="1"/>
  <c r="H36" i="13" s="1"/>
  <c r="I36" i="13" s="1"/>
  <c r="J36" i="13" s="1"/>
  <c r="K36" i="13" s="1"/>
  <c r="L36" i="13" s="1"/>
  <c r="M36" i="13" s="1"/>
  <c r="D18" i="19"/>
  <c r="C15" i="24" s="1"/>
  <c r="D15" i="24" s="1"/>
  <c r="E15" i="24" s="1"/>
  <c r="F15" i="24" s="1"/>
  <c r="G15" i="24" s="1"/>
  <c r="E92" i="7"/>
  <c r="E93" i="7" s="1"/>
  <c r="D92" i="7"/>
  <c r="D93" i="7" s="1"/>
  <c r="H92" i="7"/>
  <c r="H93" i="7" s="1"/>
  <c r="G92" i="7"/>
  <c r="G93" i="7" s="1"/>
  <c r="F92" i="7"/>
  <c r="F93" i="7" s="1"/>
  <c r="J94" i="7"/>
  <c r="G35" i="14"/>
  <c r="G34" i="14"/>
  <c r="L14" i="19"/>
  <c r="K50" i="2"/>
  <c r="F41" i="22"/>
  <c r="G99" i="7"/>
  <c r="F19" i="22"/>
  <c r="F7" i="23" s="1"/>
  <c r="L90" i="7"/>
  <c r="L18" i="19" s="1"/>
  <c r="J87" i="7"/>
  <c r="J17" i="19" s="1"/>
  <c r="J12" i="19" s="1"/>
  <c r="I12" i="22" s="1"/>
  <c r="I13" i="2" s="1"/>
  <c r="K42" i="22"/>
  <c r="K32" i="23"/>
  <c r="L100" i="7"/>
  <c r="J34" i="15"/>
  <c r="J35" i="15"/>
  <c r="M34" i="10"/>
  <c r="M35" i="10"/>
  <c r="G41" i="22"/>
  <c r="H99" i="7"/>
  <c r="F32" i="23"/>
  <c r="F42" i="22"/>
  <c r="G100" i="7"/>
  <c r="D14" i="24"/>
  <c r="E12" i="24"/>
  <c r="G35" i="15"/>
  <c r="G34" i="15"/>
  <c r="K31" i="15"/>
  <c r="C37" i="24"/>
  <c r="C42" i="22"/>
  <c r="C32" i="23"/>
  <c r="D100" i="7"/>
  <c r="M49" i="8"/>
  <c r="M47" i="8"/>
  <c r="C8" i="26"/>
  <c r="I35" i="10"/>
  <c r="I34" i="10"/>
  <c r="H26" i="16"/>
  <c r="F48" i="17"/>
  <c r="J92" i="7" l="1"/>
  <c r="J93" i="7" s="1"/>
  <c r="L92" i="7"/>
  <c r="L93" i="7" s="1"/>
  <c r="M92" i="7"/>
  <c r="M93" i="7" s="1"/>
  <c r="I92" i="7"/>
  <c r="K92" i="7"/>
  <c r="K36" i="15"/>
  <c r="L36" i="15" s="1"/>
  <c r="M36" i="15" s="1"/>
  <c r="E14" i="24"/>
  <c r="F12" i="24"/>
  <c r="H41" i="22"/>
  <c r="I99" i="7"/>
  <c r="H19" i="22"/>
  <c r="G44" i="17"/>
  <c r="G24" i="16"/>
  <c r="E45" i="17"/>
  <c r="E25" i="16"/>
  <c r="E12" i="16"/>
  <c r="E17" i="16" s="1"/>
  <c r="E49" i="17"/>
  <c r="I93" i="7"/>
  <c r="F43" i="17"/>
  <c r="F23" i="16"/>
  <c r="F31" i="17"/>
  <c r="F77" i="17"/>
  <c r="F91" i="17" s="1"/>
  <c r="E35" i="17"/>
  <c r="M14" i="19"/>
  <c r="L50" i="2"/>
  <c r="I33" i="17"/>
  <c r="K34" i="15"/>
  <c r="K35" i="15"/>
  <c r="C41" i="22"/>
  <c r="C38" i="24"/>
  <c r="D38" i="24" s="1"/>
  <c r="E38" i="24" s="1"/>
  <c r="F38" i="24" s="1"/>
  <c r="G38" i="24" s="1"/>
  <c r="H38" i="24" s="1"/>
  <c r="I38" i="24" s="1"/>
  <c r="J38" i="24" s="1"/>
  <c r="K38" i="24" s="1"/>
  <c r="L38" i="24" s="1"/>
  <c r="D99" i="7"/>
  <c r="C19" i="22"/>
  <c r="C7" i="23" s="1"/>
  <c r="H34" i="13"/>
  <c r="H35" i="13"/>
  <c r="I47" i="17"/>
  <c r="I27" i="16"/>
  <c r="L42" i="22"/>
  <c r="L32" i="23"/>
  <c r="M100" i="7"/>
  <c r="K14" i="19"/>
  <c r="J50" i="2"/>
  <c r="C20" i="24"/>
  <c r="D60" i="17"/>
  <c r="D62" i="17" s="1"/>
  <c r="E54" i="17"/>
  <c r="C24" i="2"/>
  <c r="J41" i="22"/>
  <c r="K99" i="7"/>
  <c r="J19" i="22"/>
  <c r="J7" i="23" s="1"/>
  <c r="D37" i="24"/>
  <c r="C12" i="22"/>
  <c r="C13" i="2" s="1"/>
  <c r="J42" i="22"/>
  <c r="J32" i="23"/>
  <c r="K100" i="7"/>
  <c r="C14" i="26"/>
  <c r="E8" i="26"/>
  <c r="K12" i="19"/>
  <c r="J12" i="22" s="1"/>
  <c r="J13" i="2" s="1"/>
  <c r="K41" i="22"/>
  <c r="L99" i="7"/>
  <c r="K19" i="22"/>
  <c r="K7" i="23" s="1"/>
  <c r="I14" i="19"/>
  <c r="H50" i="2"/>
  <c r="H75" i="17"/>
  <c r="H89" i="17" s="1"/>
  <c r="H29" i="17" s="1"/>
  <c r="H32" i="23"/>
  <c r="H42" i="22"/>
  <c r="I100" i="7"/>
  <c r="C8" i="24"/>
  <c r="G80" i="17"/>
  <c r="G94" i="17" s="1"/>
  <c r="G11" i="16" s="1"/>
  <c r="G6" i="16"/>
  <c r="K93" i="7"/>
  <c r="H32" i="17"/>
  <c r="C10" i="22"/>
  <c r="C11" i="2"/>
  <c r="C12" i="2" s="1"/>
  <c r="E29" i="16"/>
  <c r="D6" i="22" s="1"/>
  <c r="D8" i="22" s="1"/>
  <c r="H15" i="24"/>
  <c r="I15" i="24" s="1"/>
  <c r="J15" i="24" s="1"/>
  <c r="K15" i="24" s="1"/>
  <c r="L15" i="24" s="1"/>
  <c r="H46" i="17"/>
  <c r="C17" i="26"/>
  <c r="H12" i="22"/>
  <c r="H13" i="2" s="1"/>
  <c r="L34" i="15"/>
  <c r="L35" i="15"/>
  <c r="C9" i="23"/>
  <c r="C9" i="24" s="1"/>
  <c r="C10" i="23"/>
  <c r="C19" i="24" s="1"/>
  <c r="F16" i="25"/>
  <c r="F25" i="24"/>
  <c r="G30" i="17"/>
  <c r="I75" i="17" l="1"/>
  <c r="I89" i="17" s="1"/>
  <c r="I29" i="17"/>
  <c r="G15" i="25"/>
  <c r="E21" i="24"/>
  <c r="E27" i="2"/>
  <c r="F17" i="25"/>
  <c r="E21" i="22" s="1"/>
  <c r="F8" i="16"/>
  <c r="F95" i="17"/>
  <c r="C22" i="24"/>
  <c r="H6" i="16"/>
  <c r="E39" i="17"/>
  <c r="E40" i="17"/>
  <c r="E61" i="17"/>
  <c r="D63" i="17"/>
  <c r="D64" i="17"/>
  <c r="D21" i="21" s="1"/>
  <c r="D22" i="21" s="1"/>
  <c r="C15" i="22" s="1"/>
  <c r="C16" i="22" s="1"/>
  <c r="C25" i="2"/>
  <c r="E53" i="17"/>
  <c r="E55" i="17" s="1"/>
  <c r="D5" i="22"/>
  <c r="E33" i="16"/>
  <c r="E32" i="16"/>
  <c r="E38" i="17"/>
  <c r="E19" i="16"/>
  <c r="E18" i="16"/>
  <c r="E16" i="16"/>
  <c r="E20" i="16"/>
  <c r="E15" i="16"/>
  <c r="I78" i="17"/>
  <c r="I92" i="17" s="1"/>
  <c r="I9" i="16" s="1"/>
  <c r="G31" i="17"/>
  <c r="G77" i="17"/>
  <c r="G91" i="17" s="1"/>
  <c r="F35" i="17"/>
  <c r="D10" i="23"/>
  <c r="D19" i="24" s="1"/>
  <c r="D9" i="23"/>
  <c r="D9" i="24" s="1"/>
  <c r="C21" i="26"/>
  <c r="H7" i="23"/>
  <c r="C39" i="2"/>
  <c r="H76" i="17"/>
  <c r="H90" i="17" s="1"/>
  <c r="H7" i="16" s="1"/>
  <c r="C39" i="24"/>
  <c r="C54" i="2" s="1"/>
  <c r="F14" i="24"/>
  <c r="G12" i="24"/>
  <c r="E14" i="26"/>
  <c r="F14" i="26" s="1"/>
  <c r="C26" i="26" s="1"/>
  <c r="F8" i="26"/>
  <c r="G34" i="17"/>
  <c r="E37" i="24"/>
  <c r="D39" i="24"/>
  <c r="D54" i="2" s="1"/>
  <c r="J79" i="17"/>
  <c r="J93" i="17" s="1"/>
  <c r="J10" i="16" s="1"/>
  <c r="G43" i="17"/>
  <c r="G23" i="16"/>
  <c r="G48" i="17"/>
  <c r="G28" i="16"/>
  <c r="G25" i="24"/>
  <c r="C11" i="23"/>
  <c r="E57" i="17" l="1"/>
  <c r="D13" i="23" s="1"/>
  <c r="E56" i="17"/>
  <c r="D14" i="22"/>
  <c r="D9" i="22"/>
  <c r="D13" i="22"/>
  <c r="D8" i="23"/>
  <c r="D9" i="2"/>
  <c r="C12" i="23"/>
  <c r="C33" i="2"/>
  <c r="H25" i="24"/>
  <c r="H80" i="17"/>
  <c r="H94" i="17" s="1"/>
  <c r="H11" i="16" s="1"/>
  <c r="H34" i="17"/>
  <c r="G14" i="24"/>
  <c r="H12" i="24"/>
  <c r="C17" i="22"/>
  <c r="C20" i="22"/>
  <c r="C15" i="2"/>
  <c r="C16" i="2" s="1"/>
  <c r="H30" i="17"/>
  <c r="H77" i="17"/>
  <c r="H91" i="17" s="1"/>
  <c r="H8" i="16" s="1"/>
  <c r="H31" i="17"/>
  <c r="G35" i="17"/>
  <c r="C7" i="24"/>
  <c r="C18" i="23"/>
  <c r="C19" i="23" s="1"/>
  <c r="C21" i="2"/>
  <c r="F61" i="17"/>
  <c r="F40" i="17"/>
  <c r="F45" i="17"/>
  <c r="F25" i="16"/>
  <c r="F29" i="16" s="1"/>
  <c r="E6" i="22" s="1"/>
  <c r="E8" i="22" s="1"/>
  <c r="F12" i="16"/>
  <c r="F49" i="17"/>
  <c r="H95" i="17"/>
  <c r="G8" i="16"/>
  <c r="G95" i="17"/>
  <c r="J33" i="17"/>
  <c r="J75" i="17"/>
  <c r="J89" i="17" s="1"/>
  <c r="J29" i="17"/>
  <c r="H43" i="17"/>
  <c r="H23" i="16"/>
  <c r="I32" i="17"/>
  <c r="J47" i="17"/>
  <c r="J27" i="16"/>
  <c r="G16" i="25"/>
  <c r="I6" i="16"/>
  <c r="H44" i="17"/>
  <c r="H24" i="16"/>
  <c r="I46" i="17"/>
  <c r="I26" i="16"/>
  <c r="F37" i="24"/>
  <c r="E39" i="24"/>
  <c r="E54" i="2" s="1"/>
  <c r="K75" i="17" l="1"/>
  <c r="K89" i="17" s="1"/>
  <c r="K29" i="17"/>
  <c r="G45" i="17"/>
  <c r="G25" i="16"/>
  <c r="G29" i="16" s="1"/>
  <c r="F6" i="22" s="1"/>
  <c r="F8" i="22" s="1"/>
  <c r="G49" i="17"/>
  <c r="G12" i="16"/>
  <c r="G17" i="16" s="1"/>
  <c r="H20" i="16"/>
  <c r="H48" i="17"/>
  <c r="H28" i="16"/>
  <c r="C22" i="22"/>
  <c r="G37" i="24"/>
  <c r="F39" i="24"/>
  <c r="F54" i="2" s="1"/>
  <c r="J6" i="16"/>
  <c r="K79" i="17"/>
  <c r="K93" i="17" s="1"/>
  <c r="K10" i="16" s="1"/>
  <c r="I25" i="24"/>
  <c r="F21" i="24"/>
  <c r="H15" i="25"/>
  <c r="F27" i="2"/>
  <c r="D10" i="2"/>
  <c r="D29" i="2"/>
  <c r="G61" i="17"/>
  <c r="G40" i="17"/>
  <c r="H17" i="16"/>
  <c r="H45" i="17"/>
  <c r="H25" i="16"/>
  <c r="H29" i="16" s="1"/>
  <c r="G6" i="22" s="1"/>
  <c r="G8" i="22" s="1"/>
  <c r="D10" i="22"/>
  <c r="D11" i="2"/>
  <c r="D12" i="2" s="1"/>
  <c r="H14" i="24"/>
  <c r="I12" i="24"/>
  <c r="F33" i="16"/>
  <c r="E5" i="22"/>
  <c r="F38" i="17"/>
  <c r="F53" i="17"/>
  <c r="F32" i="16"/>
  <c r="F19" i="16"/>
  <c r="F18" i="16"/>
  <c r="F16" i="16"/>
  <c r="F20" i="16"/>
  <c r="F15" i="16"/>
  <c r="I43" i="17"/>
  <c r="I23" i="16"/>
  <c r="F39" i="17"/>
  <c r="I80" i="17"/>
  <c r="I94" i="17" s="1"/>
  <c r="I11" i="16" s="1"/>
  <c r="F17" i="16"/>
  <c r="G17" i="25"/>
  <c r="F21" i="22" s="1"/>
  <c r="D8" i="24"/>
  <c r="D11" i="23"/>
  <c r="I77" i="17"/>
  <c r="I91" i="17" s="1"/>
  <c r="I8" i="16" s="1"/>
  <c r="H49" i="17"/>
  <c r="I76" i="17"/>
  <c r="I90" i="17" s="1"/>
  <c r="I30" i="17"/>
  <c r="H35" i="17"/>
  <c r="D20" i="24"/>
  <c r="D22" i="24" s="1"/>
  <c r="F54" i="17"/>
  <c r="E60" i="17"/>
  <c r="E62" i="17" s="1"/>
  <c r="D24" i="2"/>
  <c r="E10" i="23"/>
  <c r="E19" i="24" s="1"/>
  <c r="E9" i="23"/>
  <c r="E9" i="24" s="1"/>
  <c r="J78" i="17"/>
  <c r="J92" i="17" s="1"/>
  <c r="J9" i="16" s="1"/>
  <c r="J32" i="17"/>
  <c r="H12" i="16"/>
  <c r="G9" i="23" l="1"/>
  <c r="G9" i="24" s="1"/>
  <c r="G10" i="23"/>
  <c r="G19" i="24" s="1"/>
  <c r="F55" i="17"/>
  <c r="F57" i="17" s="1"/>
  <c r="E13" i="23" s="1"/>
  <c r="H40" i="17"/>
  <c r="H61" i="17"/>
  <c r="H39" i="17"/>
  <c r="E63" i="17"/>
  <c r="E64" i="17"/>
  <c r="E21" i="21" s="1"/>
  <c r="E22" i="21" s="1"/>
  <c r="D15" i="22" s="1"/>
  <c r="D16" i="22" s="1"/>
  <c r="D25" i="2"/>
  <c r="J43" i="17"/>
  <c r="J23" i="16"/>
  <c r="D12" i="23"/>
  <c r="D33" i="2"/>
  <c r="I34" i="17"/>
  <c r="H16" i="25"/>
  <c r="H17" i="25"/>
  <c r="G21" i="22" s="1"/>
  <c r="K47" i="17"/>
  <c r="K27" i="16"/>
  <c r="K33" i="17"/>
  <c r="I7" i="16"/>
  <c r="I95" i="17"/>
  <c r="C27" i="22"/>
  <c r="L75" i="17"/>
  <c r="L89" i="17" s="1"/>
  <c r="L29" i="17"/>
  <c r="I45" i="17"/>
  <c r="I25" i="16"/>
  <c r="I31" i="17"/>
  <c r="J12" i="24"/>
  <c r="I14" i="24"/>
  <c r="J46" i="17"/>
  <c r="J26" i="16"/>
  <c r="J25" i="24"/>
  <c r="J76" i="17"/>
  <c r="J90" i="17" s="1"/>
  <c r="E8" i="23"/>
  <c r="E14" i="22"/>
  <c r="E13" i="22"/>
  <c r="E9" i="22"/>
  <c r="E9" i="2"/>
  <c r="G39" i="24"/>
  <c r="G54" i="2" s="1"/>
  <c r="H37" i="24"/>
  <c r="I48" i="17"/>
  <c r="I28" i="16"/>
  <c r="F5" i="22"/>
  <c r="G53" i="17"/>
  <c r="G38" i="17"/>
  <c r="G33" i="16"/>
  <c r="G32" i="16"/>
  <c r="G19" i="16"/>
  <c r="G18" i="16"/>
  <c r="G16" i="16"/>
  <c r="G15" i="16"/>
  <c r="G20" i="16"/>
  <c r="F10" i="23"/>
  <c r="F19" i="24" s="1"/>
  <c r="F9" i="23"/>
  <c r="F9" i="24" s="1"/>
  <c r="G5" i="22"/>
  <c r="H53" i="17"/>
  <c r="H33" i="16"/>
  <c r="H32" i="16"/>
  <c r="H38" i="17"/>
  <c r="H19" i="16"/>
  <c r="H18" i="16"/>
  <c r="H16" i="16"/>
  <c r="H15" i="16"/>
  <c r="G39" i="17"/>
  <c r="K78" i="17"/>
  <c r="K92" i="17" s="1"/>
  <c r="K9" i="16" s="1"/>
  <c r="K32" i="17"/>
  <c r="K6" i="16"/>
  <c r="F14" i="22" l="1"/>
  <c r="F8" i="23"/>
  <c r="F9" i="22"/>
  <c r="F13" i="22"/>
  <c r="F9" i="2"/>
  <c r="J7" i="16"/>
  <c r="L78" i="17"/>
  <c r="L92" i="17" s="1"/>
  <c r="L9" i="16" s="1"/>
  <c r="D20" i="22"/>
  <c r="D17" i="22"/>
  <c r="D15" i="2"/>
  <c r="D16" i="2" s="1"/>
  <c r="D7" i="24"/>
  <c r="D18" i="23"/>
  <c r="D19" i="23" s="1"/>
  <c r="D21" i="2"/>
  <c r="L6" i="16"/>
  <c r="J14" i="24"/>
  <c r="K12" i="24"/>
  <c r="K46" i="17"/>
  <c r="K26" i="16"/>
  <c r="H39" i="24"/>
  <c r="H54" i="2" s="1"/>
  <c r="I37" i="24"/>
  <c r="J80" i="17"/>
  <c r="J94" i="17" s="1"/>
  <c r="J11" i="16" s="1"/>
  <c r="J34" i="17"/>
  <c r="K25" i="24"/>
  <c r="G21" i="24"/>
  <c r="I15" i="25"/>
  <c r="G27" i="2"/>
  <c r="K43" i="17"/>
  <c r="K23" i="16"/>
  <c r="J31" i="17"/>
  <c r="J77" i="17"/>
  <c r="J91" i="17" s="1"/>
  <c r="J8" i="16" s="1"/>
  <c r="C36" i="22"/>
  <c r="C37" i="22"/>
  <c r="C34" i="22"/>
  <c r="C43" i="22"/>
  <c r="C29" i="22"/>
  <c r="D101" i="7"/>
  <c r="G8" i="23"/>
  <c r="G14" i="22"/>
  <c r="G9" i="22"/>
  <c r="G13" i="22"/>
  <c r="G9" i="2"/>
  <c r="E11" i="23"/>
  <c r="E8" i="24"/>
  <c r="I44" i="17"/>
  <c r="I24" i="16"/>
  <c r="I29" i="16" s="1"/>
  <c r="H6" i="22" s="1"/>
  <c r="H8" i="22" s="1"/>
  <c r="I12" i="16"/>
  <c r="I16" i="16" s="1"/>
  <c r="I49" i="17"/>
  <c r="J30" i="17"/>
  <c r="M75" i="17"/>
  <c r="M89" i="17" s="1"/>
  <c r="E10" i="2"/>
  <c r="E29" i="2"/>
  <c r="E10" i="22"/>
  <c r="E11" i="2"/>
  <c r="E12" i="2" s="1"/>
  <c r="F56" i="17"/>
  <c r="I35" i="17"/>
  <c r="L79" i="17"/>
  <c r="L93" i="17" s="1"/>
  <c r="L10" i="16" s="1"/>
  <c r="L33" i="17"/>
  <c r="M6" i="16" l="1"/>
  <c r="E12" i="23"/>
  <c r="E33" i="2"/>
  <c r="H9" i="23"/>
  <c r="H9" i="24" s="1"/>
  <c r="H10" i="23"/>
  <c r="H19" i="24" s="1"/>
  <c r="L32" i="17"/>
  <c r="L25" i="24"/>
  <c r="K14" i="24"/>
  <c r="L12" i="24"/>
  <c r="L14" i="24" s="1"/>
  <c r="M29" i="17"/>
  <c r="I16" i="25"/>
  <c r="I17" i="25"/>
  <c r="H21" i="22" s="1"/>
  <c r="D22" i="22"/>
  <c r="J16" i="16"/>
  <c r="J44" i="17"/>
  <c r="J24" i="16"/>
  <c r="J29" i="16" s="1"/>
  <c r="I6" i="22" s="1"/>
  <c r="I8" i="22" s="1"/>
  <c r="J49" i="17"/>
  <c r="J12" i="16"/>
  <c r="I61" i="17"/>
  <c r="I40" i="17"/>
  <c r="I39" i="17"/>
  <c r="J48" i="17"/>
  <c r="J28" i="16"/>
  <c r="F10" i="2"/>
  <c r="F29" i="2"/>
  <c r="K76" i="17"/>
  <c r="K90" i="17" s="1"/>
  <c r="J35" i="17"/>
  <c r="G10" i="2"/>
  <c r="G29" i="2"/>
  <c r="J95" i="17"/>
  <c r="C30" i="22"/>
  <c r="C32" i="22" s="1"/>
  <c r="C33" i="22" s="1"/>
  <c r="C23" i="22" s="1"/>
  <c r="C24" i="22" s="1"/>
  <c r="L43" i="17"/>
  <c r="L23" i="16"/>
  <c r="M79" i="17"/>
  <c r="M93" i="17" s="1"/>
  <c r="M10" i="16" s="1"/>
  <c r="G8" i="24"/>
  <c r="G11" i="23"/>
  <c r="F10" i="22"/>
  <c r="F11" i="2"/>
  <c r="F12" i="2" s="1"/>
  <c r="J45" i="17"/>
  <c r="J25" i="16"/>
  <c r="G10" i="22"/>
  <c r="G11" i="2"/>
  <c r="G12" i="2" s="1"/>
  <c r="E20" i="24"/>
  <c r="E22" i="24" s="1"/>
  <c r="F60" i="17"/>
  <c r="F62" i="17" s="1"/>
  <c r="G54" i="17"/>
  <c r="E24" i="2"/>
  <c r="I39" i="24"/>
  <c r="I54" i="2" s="1"/>
  <c r="J37" i="24"/>
  <c r="K77" i="17"/>
  <c r="K91" i="17" s="1"/>
  <c r="K8" i="16" s="1"/>
  <c r="K31" i="17"/>
  <c r="H5" i="22"/>
  <c r="I53" i="17"/>
  <c r="I32" i="16"/>
  <c r="I33" i="16"/>
  <c r="I38" i="17"/>
  <c r="I19" i="16"/>
  <c r="I18" i="16"/>
  <c r="I15" i="16"/>
  <c r="I17" i="16"/>
  <c r="I20" i="16"/>
  <c r="L46" i="17"/>
  <c r="L26" i="16"/>
  <c r="L47" i="17"/>
  <c r="L27" i="16"/>
  <c r="K80" i="17"/>
  <c r="K94" i="17" s="1"/>
  <c r="K11" i="16" s="1"/>
  <c r="K34" i="17"/>
  <c r="F11" i="23"/>
  <c r="F8" i="24"/>
  <c r="C38" i="22"/>
  <c r="H13" i="22" l="1"/>
  <c r="C18" i="26" s="1"/>
  <c r="H9" i="22"/>
  <c r="H8" i="23"/>
  <c r="H14" i="22"/>
  <c r="C19" i="26" s="1"/>
  <c r="H9" i="2"/>
  <c r="L31" i="17"/>
  <c r="L77" i="17"/>
  <c r="L91" i="17" s="1"/>
  <c r="L8" i="16" s="1"/>
  <c r="J39" i="24"/>
  <c r="J54" i="2" s="1"/>
  <c r="K37" i="24"/>
  <c r="H21" i="24"/>
  <c r="J15" i="25"/>
  <c r="H27" i="2"/>
  <c r="G12" i="23"/>
  <c r="G33" i="2"/>
  <c r="J33" i="16"/>
  <c r="J53" i="17"/>
  <c r="I5" i="22"/>
  <c r="J32" i="16"/>
  <c r="J38" i="17"/>
  <c r="J19" i="16"/>
  <c r="J15" i="16"/>
  <c r="J18" i="16"/>
  <c r="I9" i="23"/>
  <c r="I9" i="24" s="1"/>
  <c r="I10" i="23"/>
  <c r="I19" i="24" s="1"/>
  <c r="C6" i="23"/>
  <c r="C26" i="24"/>
  <c r="C17" i="2"/>
  <c r="C31" i="22"/>
  <c r="D28" i="22" s="1"/>
  <c r="F63" i="17"/>
  <c r="F64" i="17"/>
  <c r="F21" i="21" s="1"/>
  <c r="F22" i="21" s="1"/>
  <c r="E15" i="22" s="1"/>
  <c r="E16" i="22" s="1"/>
  <c r="E25" i="2"/>
  <c r="M47" i="17"/>
  <c r="M27" i="16"/>
  <c r="D27" i="22"/>
  <c r="L80" i="17"/>
  <c r="L94" i="17" s="1"/>
  <c r="L11" i="16" s="1"/>
  <c r="M33" i="17"/>
  <c r="K45" i="17"/>
  <c r="K25" i="16"/>
  <c r="C11" i="24"/>
  <c r="C15" i="23"/>
  <c r="D35" i="22"/>
  <c r="C40" i="24"/>
  <c r="F12" i="23"/>
  <c r="F33" i="2"/>
  <c r="K7" i="16"/>
  <c r="K95" i="17"/>
  <c r="K30" i="17"/>
  <c r="G55" i="17"/>
  <c r="G57" i="17" s="1"/>
  <c r="F13" i="23" s="1"/>
  <c r="K48" i="17"/>
  <c r="K28" i="16"/>
  <c r="J61" i="17"/>
  <c r="J39" i="17"/>
  <c r="J40" i="17"/>
  <c r="M78" i="17"/>
  <c r="M92" i="17" s="1"/>
  <c r="M9" i="16" s="1"/>
  <c r="J17" i="16"/>
  <c r="J20" i="16"/>
  <c r="M43" i="17"/>
  <c r="M23" i="16"/>
  <c r="C14" i="23" l="1"/>
  <c r="C27" i="23" s="1"/>
  <c r="C29" i="23" s="1"/>
  <c r="C30" i="23" s="1"/>
  <c r="M32" i="17"/>
  <c r="M46" i="17"/>
  <c r="M26" i="16"/>
  <c r="L37" i="24"/>
  <c r="L39" i="24" s="1"/>
  <c r="L54" i="2" s="1"/>
  <c r="K39" i="24"/>
  <c r="K54" i="2" s="1"/>
  <c r="K44" i="17"/>
  <c r="K24" i="16"/>
  <c r="K29" i="16" s="1"/>
  <c r="J6" i="22" s="1"/>
  <c r="J8" i="22" s="1"/>
  <c r="K49" i="17"/>
  <c r="K12" i="16"/>
  <c r="L45" i="17"/>
  <c r="L25" i="16"/>
  <c r="L34" i="17"/>
  <c r="H10" i="2"/>
  <c r="H29" i="2"/>
  <c r="H8" i="24"/>
  <c r="H11" i="23"/>
  <c r="L48" i="17"/>
  <c r="L28" i="16"/>
  <c r="I13" i="22"/>
  <c r="I14" i="22"/>
  <c r="I9" i="22"/>
  <c r="I8" i="23"/>
  <c r="I9" i="2"/>
  <c r="D36" i="22"/>
  <c r="D37" i="22"/>
  <c r="D34" i="22"/>
  <c r="D43" i="22"/>
  <c r="D29" i="22"/>
  <c r="E101" i="7"/>
  <c r="E17" i="22"/>
  <c r="E20" i="22"/>
  <c r="E15" i="2"/>
  <c r="E16" i="2" s="1"/>
  <c r="L30" i="17"/>
  <c r="L76" i="17"/>
  <c r="L90" i="17" s="1"/>
  <c r="K35" i="17"/>
  <c r="M77" i="17"/>
  <c r="M91" i="17" s="1"/>
  <c r="M8" i="16" s="1"/>
  <c r="H10" i="22"/>
  <c r="H11" i="2"/>
  <c r="H12" i="2" s="1"/>
  <c r="G56" i="17"/>
  <c r="J16" i="25"/>
  <c r="E7" i="24"/>
  <c r="E18" i="23"/>
  <c r="E19" i="23" s="1"/>
  <c r="E21" i="2"/>
  <c r="C27" i="24"/>
  <c r="C18" i="2" l="1"/>
  <c r="D38" i="22"/>
  <c r="D15" i="23" s="1"/>
  <c r="C28" i="23"/>
  <c r="C19" i="2" s="1"/>
  <c r="D25" i="25"/>
  <c r="D26" i="25" s="1"/>
  <c r="C6" i="24"/>
  <c r="C10" i="24" s="1"/>
  <c r="C35" i="23"/>
  <c r="C34" i="23"/>
  <c r="C23" i="2"/>
  <c r="C20" i="2"/>
  <c r="C22" i="2"/>
  <c r="E22" i="22"/>
  <c r="C34" i="24"/>
  <c r="C29" i="24"/>
  <c r="C35" i="24"/>
  <c r="C32" i="2" s="1"/>
  <c r="I10" i="2"/>
  <c r="I29" i="2"/>
  <c r="I21" i="24"/>
  <c r="K15" i="25"/>
  <c r="I27" i="2"/>
  <c r="J9" i="23"/>
  <c r="J9" i="24" s="1"/>
  <c r="J10" i="23"/>
  <c r="J19" i="24" s="1"/>
  <c r="M76" i="17"/>
  <c r="M90" i="17" s="1"/>
  <c r="M30" i="17" s="1"/>
  <c r="M35" i="17" s="1"/>
  <c r="L35" i="17"/>
  <c r="K33" i="16"/>
  <c r="J5" i="22"/>
  <c r="K32" i="16"/>
  <c r="K53" i="17"/>
  <c r="K38" i="17"/>
  <c r="K19" i="16"/>
  <c r="K18" i="16"/>
  <c r="K15" i="16"/>
  <c r="K17" i="16"/>
  <c r="K20" i="16"/>
  <c r="J17" i="25"/>
  <c r="I21" i="22" s="1"/>
  <c r="K16" i="16"/>
  <c r="D30" i="22"/>
  <c r="D32" i="22" s="1"/>
  <c r="D33" i="22" s="1"/>
  <c r="D23" i="22" s="1"/>
  <c r="D24" i="22" s="1"/>
  <c r="M45" i="17"/>
  <c r="M25" i="16"/>
  <c r="M31" i="17"/>
  <c r="M80" i="17"/>
  <c r="M94" i="17" s="1"/>
  <c r="M11" i="16" s="1"/>
  <c r="M34" i="17"/>
  <c r="F20" i="24"/>
  <c r="F22" i="24" s="1"/>
  <c r="G60" i="17"/>
  <c r="G62" i="17" s="1"/>
  <c r="H54" i="17"/>
  <c r="F24" i="2"/>
  <c r="K40" i="17"/>
  <c r="K61" i="17"/>
  <c r="K39" i="17"/>
  <c r="I8" i="24"/>
  <c r="I11" i="23"/>
  <c r="I10" i="22"/>
  <c r="I11" i="2"/>
  <c r="I12" i="2" s="1"/>
  <c r="L7" i="16"/>
  <c r="L95" i="17"/>
  <c r="H12" i="23"/>
  <c r="H33" i="2"/>
  <c r="D40" i="24" l="1"/>
  <c r="E35" i="22"/>
  <c r="D11" i="24"/>
  <c r="M40" i="17"/>
  <c r="M61" i="17"/>
  <c r="E27" i="22"/>
  <c r="C16" i="24"/>
  <c r="C32" i="24" s="1"/>
  <c r="C33" i="24"/>
  <c r="C31" i="2" s="1"/>
  <c r="D6" i="23"/>
  <c r="D14" i="23" s="1"/>
  <c r="D27" i="23" s="1"/>
  <c r="D17" i="2"/>
  <c r="D26" i="24"/>
  <c r="L44" i="17"/>
  <c r="L16" i="16"/>
  <c r="L24" i="16"/>
  <c r="L29" i="16" s="1"/>
  <c r="K6" i="22" s="1"/>
  <c r="K8" i="22" s="1"/>
  <c r="L12" i="16"/>
  <c r="L49" i="17"/>
  <c r="I12" i="23"/>
  <c r="I33" i="2"/>
  <c r="J13" i="22"/>
  <c r="J14" i="22"/>
  <c r="J9" i="22"/>
  <c r="J8" i="23"/>
  <c r="J9" i="2"/>
  <c r="H55" i="17"/>
  <c r="H57" i="17" s="1"/>
  <c r="G13" i="23" s="1"/>
  <c r="G63" i="17"/>
  <c r="G64" i="17"/>
  <c r="G21" i="21" s="1"/>
  <c r="G22" i="21" s="1"/>
  <c r="F15" i="22" s="1"/>
  <c r="F16" i="22" s="1"/>
  <c r="F25" i="2"/>
  <c r="K16" i="25"/>
  <c r="L40" i="17"/>
  <c r="L61" i="17"/>
  <c r="M7" i="16"/>
  <c r="M95" i="17"/>
  <c r="M48" i="17"/>
  <c r="M28" i="16"/>
  <c r="D31" i="22"/>
  <c r="E28" i="22" s="1"/>
  <c r="J8" i="24" l="1"/>
  <c r="J11" i="23"/>
  <c r="L38" i="17"/>
  <c r="L33" i="16"/>
  <c r="L53" i="17"/>
  <c r="K5" i="22"/>
  <c r="L32" i="16"/>
  <c r="L18" i="16"/>
  <c r="L19" i="16"/>
  <c r="L15" i="16"/>
  <c r="L17" i="16"/>
  <c r="L20" i="16"/>
  <c r="L39" i="17"/>
  <c r="K10" i="23"/>
  <c r="K19" i="24" s="1"/>
  <c r="K9" i="23"/>
  <c r="K9" i="24" s="1"/>
  <c r="D27" i="24"/>
  <c r="E34" i="22"/>
  <c r="E37" i="22"/>
  <c r="E36" i="22"/>
  <c r="E43" i="22"/>
  <c r="E29" i="22"/>
  <c r="E30" i="22" s="1"/>
  <c r="F101" i="7"/>
  <c r="J29" i="2"/>
  <c r="J10" i="2"/>
  <c r="J10" i="22"/>
  <c r="J11" i="2"/>
  <c r="J12" i="2" s="1"/>
  <c r="M44" i="17"/>
  <c r="M16" i="16"/>
  <c r="M24" i="16"/>
  <c r="M29" i="16" s="1"/>
  <c r="L6" i="22" s="1"/>
  <c r="L8" i="22" s="1"/>
  <c r="M12" i="16"/>
  <c r="M49" i="17"/>
  <c r="L15" i="25"/>
  <c r="J21" i="24"/>
  <c r="J27" i="2"/>
  <c r="K17" i="25"/>
  <c r="J21" i="22" s="1"/>
  <c r="D29" i="23"/>
  <c r="D30" i="23" s="1"/>
  <c r="D18" i="2"/>
  <c r="D28" i="23"/>
  <c r="F17" i="22"/>
  <c r="F20" i="22"/>
  <c r="F15" i="2"/>
  <c r="F16" i="2" s="1"/>
  <c r="C30" i="26"/>
  <c r="C46" i="2"/>
  <c r="F7" i="24"/>
  <c r="F18" i="23"/>
  <c r="F19" i="23" s="1"/>
  <c r="F21" i="2"/>
  <c r="H56" i="17"/>
  <c r="E31" i="22" l="1"/>
  <c r="F28" i="22" s="1"/>
  <c r="E32" i="22"/>
  <c r="E33" i="22" s="1"/>
  <c r="E23" i="22" s="1"/>
  <c r="E24" i="22" s="1"/>
  <c r="E6" i="23" s="1"/>
  <c r="L16" i="25"/>
  <c r="L17" i="25"/>
  <c r="K21" i="22" s="1"/>
  <c r="D19" i="2"/>
  <c r="E38" i="22"/>
  <c r="D6" i="24"/>
  <c r="D10" i="24" s="1"/>
  <c r="D34" i="23"/>
  <c r="E25" i="25"/>
  <c r="E26" i="25" s="1"/>
  <c r="D35" i="23"/>
  <c r="D23" i="2"/>
  <c r="D20" i="2"/>
  <c r="D22" i="2"/>
  <c r="K14" i="22"/>
  <c r="K9" i="22"/>
  <c r="K13" i="22"/>
  <c r="K8" i="23"/>
  <c r="K9" i="2"/>
  <c r="D34" i="24"/>
  <c r="D29" i="24"/>
  <c r="D35" i="24"/>
  <c r="D32" i="2" s="1"/>
  <c r="M33" i="16"/>
  <c r="M32" i="16"/>
  <c r="L5" i="22"/>
  <c r="M53" i="17"/>
  <c r="M38" i="17"/>
  <c r="M15" i="16"/>
  <c r="M19" i="16"/>
  <c r="M18" i="16"/>
  <c r="M17" i="16"/>
  <c r="M39" i="17"/>
  <c r="M20" i="16"/>
  <c r="F22" i="22"/>
  <c r="J12" i="23"/>
  <c r="J33" i="2"/>
  <c r="G20" i="24"/>
  <c r="G22" i="24" s="1"/>
  <c r="I54" i="17"/>
  <c r="H60" i="17"/>
  <c r="H62" i="17" s="1"/>
  <c r="G24" i="2"/>
  <c r="L10" i="23"/>
  <c r="L19" i="24" s="1"/>
  <c r="L9" i="23"/>
  <c r="L9" i="24" s="1"/>
  <c r="E26" i="24" l="1"/>
  <c r="E17" i="2"/>
  <c r="F27" i="22"/>
  <c r="L8" i="23"/>
  <c r="L14" i="22"/>
  <c r="L9" i="22"/>
  <c r="L13" i="22"/>
  <c r="L9" i="2"/>
  <c r="B4" i="2"/>
  <c r="C33" i="26"/>
  <c r="C36" i="2"/>
  <c r="M15" i="25"/>
  <c r="K21" i="24"/>
  <c r="K27" i="2"/>
  <c r="F35" i="22"/>
  <c r="E15" i="23"/>
  <c r="E14" i="23" s="1"/>
  <c r="E27" i="23" s="1"/>
  <c r="E11" i="24"/>
  <c r="E40" i="24"/>
  <c r="K10" i="2"/>
  <c r="K29" i="2"/>
  <c r="K11" i="23"/>
  <c r="K8" i="24"/>
  <c r="E27" i="24"/>
  <c r="D33" i="24"/>
  <c r="D31" i="2" s="1"/>
  <c r="D16" i="24"/>
  <c r="D32" i="24" s="1"/>
  <c r="H64" i="17"/>
  <c r="H21" i="21" s="1"/>
  <c r="H22" i="21" s="1"/>
  <c r="G15" i="22" s="1"/>
  <c r="G16" i="22" s="1"/>
  <c r="H63" i="17"/>
  <c r="G25" i="2"/>
  <c r="K10" i="22"/>
  <c r="K11" i="2"/>
  <c r="K12" i="2" s="1"/>
  <c r="I55" i="17"/>
  <c r="I57" i="17" s="1"/>
  <c r="H13" i="23" s="1"/>
  <c r="I56" i="17"/>
  <c r="K12" i="23" l="1"/>
  <c r="K33" i="2"/>
  <c r="E29" i="23"/>
  <c r="E30" i="23" s="1"/>
  <c r="E18" i="2"/>
  <c r="E28" i="23"/>
  <c r="L10" i="2"/>
  <c r="L29" i="2"/>
  <c r="F43" i="22"/>
  <c r="F29" i="22"/>
  <c r="F34" i="22"/>
  <c r="G101" i="7"/>
  <c r="I60" i="17"/>
  <c r="I62" i="17" s="1"/>
  <c r="H20" i="24"/>
  <c r="H22" i="24" s="1"/>
  <c r="J54" i="17"/>
  <c r="H24" i="2"/>
  <c r="G7" i="24"/>
  <c r="G18" i="23"/>
  <c r="G19" i="23" s="1"/>
  <c r="G21" i="2"/>
  <c r="L10" i="22"/>
  <c r="L11" i="2"/>
  <c r="L12" i="2" s="1"/>
  <c r="M17" i="25"/>
  <c r="L21" i="22" s="1"/>
  <c r="M16" i="25"/>
  <c r="G20" i="22"/>
  <c r="G17" i="22"/>
  <c r="G15" i="2"/>
  <c r="G16" i="2" s="1"/>
  <c r="L11" i="23"/>
  <c r="L8" i="24"/>
  <c r="E34" i="24"/>
  <c r="E29" i="24"/>
  <c r="E35" i="24"/>
  <c r="E32" i="2" s="1"/>
  <c r="L12" i="23" l="1"/>
  <c r="L33" i="2"/>
  <c r="F30" i="22"/>
  <c r="F32" i="22" s="1"/>
  <c r="F33" i="22" s="1"/>
  <c r="E6" i="24"/>
  <c r="E10" i="24" s="1"/>
  <c r="E34" i="23"/>
  <c r="F25" i="25"/>
  <c r="F26" i="25" s="1"/>
  <c r="E35" i="23"/>
  <c r="E20" i="2"/>
  <c r="E23" i="2"/>
  <c r="E22" i="2"/>
  <c r="J55" i="17"/>
  <c r="J57" i="17" s="1"/>
  <c r="I13" i="23" s="1"/>
  <c r="G22" i="22"/>
  <c r="E19" i="2"/>
  <c r="L21" i="24"/>
  <c r="L27" i="2"/>
  <c r="C38" i="26"/>
  <c r="I64" i="17"/>
  <c r="I21" i="21" s="1"/>
  <c r="I22" i="21" s="1"/>
  <c r="H15" i="22" s="1"/>
  <c r="I63" i="17"/>
  <c r="H25" i="2"/>
  <c r="F31" i="22" l="1"/>
  <c r="G28" i="22" s="1"/>
  <c r="G27" i="22"/>
  <c r="H18" i="23"/>
  <c r="H19" i="23" s="1"/>
  <c r="H7" i="24"/>
  <c r="H21" i="2"/>
  <c r="F23" i="22"/>
  <c r="F24" i="22" s="1"/>
  <c r="F36" i="22"/>
  <c r="C20" i="26"/>
  <c r="C23" i="26" s="1"/>
  <c r="C27" i="26" s="1"/>
  <c r="H16" i="22"/>
  <c r="J56" i="17"/>
  <c r="E33" i="24"/>
  <c r="E31" i="2" s="1"/>
  <c r="E16" i="24"/>
  <c r="E32" i="24" s="1"/>
  <c r="F37" i="22"/>
  <c r="F38" i="22" s="1"/>
  <c r="F6" i="23" l="1"/>
  <c r="F17" i="2"/>
  <c r="F26" i="24"/>
  <c r="F40" i="24"/>
  <c r="F15" i="23"/>
  <c r="F11" i="24"/>
  <c r="G35" i="22"/>
  <c r="I20" i="24"/>
  <c r="I22" i="24" s="1"/>
  <c r="K54" i="17"/>
  <c r="J60" i="17"/>
  <c r="J62" i="17" s="1"/>
  <c r="I24" i="2"/>
  <c r="G29" i="22"/>
  <c r="G34" i="22"/>
  <c r="G43" i="22"/>
  <c r="H101" i="7"/>
  <c r="H17" i="22"/>
  <c r="H20" i="22"/>
  <c r="H15" i="2"/>
  <c r="H16" i="2" s="1"/>
  <c r="K55" i="17" l="1"/>
  <c r="K57" i="17" s="1"/>
  <c r="J13" i="23" s="1"/>
  <c r="K56" i="17"/>
  <c r="H22" i="22"/>
  <c r="G30" i="22"/>
  <c r="G32" i="22" s="1"/>
  <c r="G33" i="22" s="1"/>
  <c r="J63" i="17"/>
  <c r="J64" i="17"/>
  <c r="J21" i="21" s="1"/>
  <c r="J22" i="21" s="1"/>
  <c r="I15" i="22" s="1"/>
  <c r="I16" i="22" s="1"/>
  <c r="I25" i="2"/>
  <c r="F27" i="24"/>
  <c r="F14" i="23"/>
  <c r="F27" i="23" s="1"/>
  <c r="G31" i="22" l="1"/>
  <c r="H28" i="22" s="1"/>
  <c r="F34" i="24"/>
  <c r="F29" i="24"/>
  <c r="F35" i="24"/>
  <c r="F32" i="2" s="1"/>
  <c r="I7" i="24"/>
  <c r="I18" i="23"/>
  <c r="I19" i="23" s="1"/>
  <c r="I21" i="2"/>
  <c r="H27" i="22"/>
  <c r="F29" i="23"/>
  <c r="F30" i="23" s="1"/>
  <c r="F18" i="2"/>
  <c r="C47" i="2"/>
  <c r="C31" i="26"/>
  <c r="F28" i="23"/>
  <c r="G23" i="22"/>
  <c r="G24" i="22" s="1"/>
  <c r="G36" i="22"/>
  <c r="K60" i="17"/>
  <c r="K62" i="17" s="1"/>
  <c r="J20" i="24"/>
  <c r="J22" i="24" s="1"/>
  <c r="L54" i="17"/>
  <c r="J24" i="2"/>
  <c r="I20" i="22"/>
  <c r="I17" i="22"/>
  <c r="I15" i="2"/>
  <c r="I16" i="2" s="1"/>
  <c r="G37" i="22"/>
  <c r="K63" i="17" l="1"/>
  <c r="K64" i="17"/>
  <c r="K21" i="21" s="1"/>
  <c r="K22" i="21" s="1"/>
  <c r="J15" i="22" s="1"/>
  <c r="J16" i="22" s="1"/>
  <c r="J25" i="2"/>
  <c r="G6" i="23"/>
  <c r="G17" i="2"/>
  <c r="G26" i="24"/>
  <c r="G38" i="22"/>
  <c r="F19" i="2"/>
  <c r="F6" i="24"/>
  <c r="F10" i="24" s="1"/>
  <c r="G25" i="25"/>
  <c r="G26" i="25" s="1"/>
  <c r="F34" i="23"/>
  <c r="F35" i="23"/>
  <c r="F23" i="2"/>
  <c r="F20" i="2"/>
  <c r="F22" i="2"/>
  <c r="H43" i="22"/>
  <c r="H34" i="22"/>
  <c r="H29" i="22"/>
  <c r="I101" i="7"/>
  <c r="I22" i="22"/>
  <c r="L55" i="17"/>
  <c r="L57" i="17" s="1"/>
  <c r="K13" i="23" s="1"/>
  <c r="L56" i="17"/>
  <c r="G27" i="24" l="1"/>
  <c r="L60" i="17"/>
  <c r="L62" i="17" s="1"/>
  <c r="K20" i="24"/>
  <c r="K22" i="24" s="1"/>
  <c r="M54" i="17"/>
  <c r="K24" i="2"/>
  <c r="G15" i="23"/>
  <c r="G14" i="23" s="1"/>
  <c r="G27" i="23" s="1"/>
  <c r="G11" i="24"/>
  <c r="G40" i="24"/>
  <c r="H35" i="22"/>
  <c r="J17" i="22"/>
  <c r="J20" i="22"/>
  <c r="J15" i="2"/>
  <c r="J16" i="2" s="1"/>
  <c r="F33" i="24"/>
  <c r="F31" i="2" s="1"/>
  <c r="F16" i="24"/>
  <c r="F32" i="24" s="1"/>
  <c r="I27" i="22"/>
  <c r="H30" i="22"/>
  <c r="H32" i="22" s="1"/>
  <c r="H33" i="22" s="1"/>
  <c r="J7" i="24"/>
  <c r="J18" i="23"/>
  <c r="J19" i="23" s="1"/>
  <c r="J21" i="2"/>
  <c r="G29" i="23" l="1"/>
  <c r="G30" i="23" s="1"/>
  <c r="G18" i="2"/>
  <c r="G28" i="23"/>
  <c r="L64" i="17"/>
  <c r="L21" i="21" s="1"/>
  <c r="L22" i="21" s="1"/>
  <c r="K15" i="22" s="1"/>
  <c r="K16" i="22" s="1"/>
  <c r="L63" i="17"/>
  <c r="K25" i="2"/>
  <c r="H23" i="22"/>
  <c r="H24" i="22" s="1"/>
  <c r="H36" i="22"/>
  <c r="J22" i="22"/>
  <c r="H31" i="22"/>
  <c r="I28" i="22" s="1"/>
  <c r="I34" i="22"/>
  <c r="I43" i="22"/>
  <c r="I29" i="22"/>
  <c r="J101" i="7"/>
  <c r="M55" i="17"/>
  <c r="M57" i="17" s="1"/>
  <c r="L13" i="23" s="1"/>
  <c r="G34" i="24"/>
  <c r="G29" i="24"/>
  <c r="G35" i="24"/>
  <c r="G32" i="2" s="1"/>
  <c r="H37" i="22"/>
  <c r="H38" i="22" s="1"/>
  <c r="H15" i="23" l="1"/>
  <c r="H11" i="24"/>
  <c r="I35" i="22"/>
  <c r="H40" i="24"/>
  <c r="J27" i="22"/>
  <c r="K17" i="22"/>
  <c r="K20" i="22"/>
  <c r="K15" i="2"/>
  <c r="K16" i="2" s="1"/>
  <c r="K18" i="23"/>
  <c r="K19" i="23" s="1"/>
  <c r="K7" i="24"/>
  <c r="K21" i="2"/>
  <c r="H6" i="23"/>
  <c r="H14" i="23" s="1"/>
  <c r="H27" i="23" s="1"/>
  <c r="H17" i="2"/>
  <c r="H26" i="24"/>
  <c r="G19" i="2"/>
  <c r="I30" i="22"/>
  <c r="I32" i="22" s="1"/>
  <c r="I33" i="22" s="1"/>
  <c r="M56" i="17"/>
  <c r="H25" i="25"/>
  <c r="H26" i="25" s="1"/>
  <c r="G6" i="24"/>
  <c r="G10" i="24" s="1"/>
  <c r="G35" i="23"/>
  <c r="G34" i="23"/>
  <c r="G23" i="2"/>
  <c r="G20" i="2"/>
  <c r="G22" i="2"/>
  <c r="I31" i="22" l="1"/>
  <c r="J28" i="22" s="1"/>
  <c r="I23" i="22"/>
  <c r="I24" i="22" s="1"/>
  <c r="I36" i="22"/>
  <c r="H29" i="23"/>
  <c r="H30" i="23" s="1"/>
  <c r="H18" i="2"/>
  <c r="L20" i="24"/>
  <c r="L22" i="24" s="1"/>
  <c r="M60" i="17"/>
  <c r="M62" i="17" s="1"/>
  <c r="L24" i="2"/>
  <c r="H28" i="23"/>
  <c r="K22" i="22"/>
  <c r="G33" i="24"/>
  <c r="G31" i="2" s="1"/>
  <c r="G16" i="24"/>
  <c r="G32" i="24" s="1"/>
  <c r="I26" i="24"/>
  <c r="H27" i="24"/>
  <c r="J34" i="22"/>
  <c r="J29" i="22"/>
  <c r="J43" i="22"/>
  <c r="K101" i="7"/>
  <c r="I37" i="22"/>
  <c r="I38" i="22" s="1"/>
  <c r="I15" i="23" l="1"/>
  <c r="I40" i="24"/>
  <c r="I11" i="24"/>
  <c r="J35" i="22"/>
  <c r="H34" i="24"/>
  <c r="H29" i="24"/>
  <c r="H35" i="24"/>
  <c r="H32" i="2" s="1"/>
  <c r="I27" i="24"/>
  <c r="K27" i="22"/>
  <c r="H19" i="2"/>
  <c r="M63" i="17"/>
  <c r="M64" i="17"/>
  <c r="M21" i="21" s="1"/>
  <c r="M22" i="21" s="1"/>
  <c r="L15" i="22" s="1"/>
  <c r="L16" i="22" s="1"/>
  <c r="L25" i="2"/>
  <c r="H34" i="23"/>
  <c r="H35" i="23"/>
  <c r="I25" i="25"/>
  <c r="I26" i="25" s="1"/>
  <c r="H6" i="24"/>
  <c r="H10" i="24" s="1"/>
  <c r="H20" i="2"/>
  <c r="H22" i="2"/>
  <c r="H23" i="2"/>
  <c r="J30" i="22"/>
  <c r="J32" i="22" s="1"/>
  <c r="J33" i="22" s="1"/>
  <c r="J37" i="22" s="1"/>
  <c r="I6" i="23"/>
  <c r="I17" i="2"/>
  <c r="I14" i="23" l="1"/>
  <c r="I27" i="23" s="1"/>
  <c r="I28" i="23" s="1"/>
  <c r="L7" i="24"/>
  <c r="L18" i="23"/>
  <c r="L19" i="23" s="1"/>
  <c r="L21" i="2"/>
  <c r="I34" i="24"/>
  <c r="I29" i="24"/>
  <c r="I35" i="24"/>
  <c r="I32" i="2" s="1"/>
  <c r="L20" i="22"/>
  <c r="L17" i="22"/>
  <c r="D4" i="2"/>
  <c r="L15" i="2"/>
  <c r="C37" i="2"/>
  <c r="C34" i="26"/>
  <c r="K43" i="22"/>
  <c r="K34" i="22"/>
  <c r="K29" i="22"/>
  <c r="L101" i="7"/>
  <c r="H16" i="24"/>
  <c r="H32" i="24" s="1"/>
  <c r="H33" i="24"/>
  <c r="H31" i="2" s="1"/>
  <c r="I19" i="2"/>
  <c r="J23" i="22"/>
  <c r="J24" i="22" s="1"/>
  <c r="J36" i="22"/>
  <c r="J38" i="22" s="1"/>
  <c r="J31" i="22"/>
  <c r="K28" i="22" s="1"/>
  <c r="I18" i="2" l="1"/>
  <c r="I29" i="23"/>
  <c r="I30" i="23" s="1"/>
  <c r="C57" i="2"/>
  <c r="C59" i="2" s="1"/>
  <c r="C61" i="2" s="1"/>
  <c r="L16" i="2"/>
  <c r="J11" i="24"/>
  <c r="K35" i="22"/>
  <c r="J40" i="24"/>
  <c r="J15" i="23"/>
  <c r="J25" i="25"/>
  <c r="J26" i="25" s="1"/>
  <c r="I6" i="24"/>
  <c r="I10" i="24" s="1"/>
  <c r="I35" i="23"/>
  <c r="I34" i="23"/>
  <c r="I23" i="2"/>
  <c r="I20" i="2"/>
  <c r="I22" i="2"/>
  <c r="L22" i="22"/>
  <c r="K30" i="22"/>
  <c r="K32" i="22" s="1"/>
  <c r="K33" i="22" s="1"/>
  <c r="J6" i="23"/>
  <c r="J14" i="23" s="1"/>
  <c r="J27" i="23" s="1"/>
  <c r="J17" i="2"/>
  <c r="J26" i="24"/>
  <c r="J27" i="24" l="1"/>
  <c r="K31" i="22"/>
  <c r="L28" i="22" s="1"/>
  <c r="J29" i="23"/>
  <c r="J30" i="23" s="1"/>
  <c r="J18" i="2"/>
  <c r="J28" i="23"/>
  <c r="L27" i="22"/>
  <c r="K23" i="22"/>
  <c r="K24" i="22" s="1"/>
  <c r="K37" i="22"/>
  <c r="K36" i="22"/>
  <c r="I33" i="24"/>
  <c r="I31" i="2" s="1"/>
  <c r="I16" i="24"/>
  <c r="I32" i="24" s="1"/>
  <c r="K38" i="22" l="1"/>
  <c r="L35" i="22"/>
  <c r="K40" i="24"/>
  <c r="K15" i="23"/>
  <c r="K11" i="24"/>
  <c r="L29" i="22"/>
  <c r="L43" i="22"/>
  <c r="L34" i="22"/>
  <c r="M101" i="7"/>
  <c r="K25" i="25"/>
  <c r="K26" i="25" s="1"/>
  <c r="J6" i="24"/>
  <c r="J10" i="24" s="1"/>
  <c r="J35" i="23"/>
  <c r="J34" i="23"/>
  <c r="J23" i="2"/>
  <c r="J22" i="2"/>
  <c r="J20" i="2"/>
  <c r="K6" i="23"/>
  <c r="K14" i="23" s="1"/>
  <c r="K27" i="23" s="1"/>
  <c r="K17" i="2"/>
  <c r="J34" i="24"/>
  <c r="J29" i="24"/>
  <c r="J35" i="24"/>
  <c r="J32" i="2" s="1"/>
  <c r="J19" i="2"/>
  <c r="L30" i="22"/>
  <c r="L32" i="22" s="1"/>
  <c r="L33" i="22" s="1"/>
  <c r="K26" i="24"/>
  <c r="L31" i="22" l="1"/>
  <c r="L23" i="22"/>
  <c r="L24" i="22" s="1"/>
  <c r="L36" i="22"/>
  <c r="L37" i="22"/>
  <c r="J33" i="24"/>
  <c r="J31" i="2" s="1"/>
  <c r="J16" i="24"/>
  <c r="J32" i="24" s="1"/>
  <c r="K29" i="23"/>
  <c r="K30" i="23" s="1"/>
  <c r="K18" i="2"/>
  <c r="L26" i="24"/>
  <c r="L27" i="24" s="1"/>
  <c r="K27" i="24"/>
  <c r="K28" i="23"/>
  <c r="L38" i="22"/>
  <c r="L11" i="24" l="1"/>
  <c r="L40" i="24"/>
  <c r="L15" i="23"/>
  <c r="K19" i="2"/>
  <c r="L34" i="24"/>
  <c r="L29" i="24"/>
  <c r="L35" i="24"/>
  <c r="L32" i="2" s="1"/>
  <c r="K34" i="24"/>
  <c r="K29" i="24"/>
  <c r="K35" i="24"/>
  <c r="K32" i="2" s="1"/>
  <c r="K34" i="23"/>
  <c r="L25" i="25"/>
  <c r="L26" i="25" s="1"/>
  <c r="K6" i="24"/>
  <c r="K10" i="24" s="1"/>
  <c r="K35" i="23"/>
  <c r="K23" i="2"/>
  <c r="K20" i="2"/>
  <c r="K22" i="2"/>
  <c r="L6" i="23"/>
  <c r="L14" i="23" s="1"/>
  <c r="L27" i="23" s="1"/>
  <c r="L17" i="2"/>
  <c r="C35" i="26"/>
  <c r="C38" i="2"/>
  <c r="L29" i="23" l="1"/>
  <c r="L30" i="23" s="1"/>
  <c r="L18" i="2"/>
  <c r="C58" i="2" s="1"/>
  <c r="C60" i="2" s="1"/>
  <c r="C62" i="2" s="1"/>
  <c r="C44" i="2"/>
  <c r="C39" i="26"/>
  <c r="F4" i="2"/>
  <c r="H4" i="2"/>
  <c r="C40" i="26"/>
  <c r="C43" i="2"/>
  <c r="J4" i="2"/>
  <c r="K16" i="24"/>
  <c r="K32" i="24" s="1"/>
  <c r="K33" i="24"/>
  <c r="K31" i="2" s="1"/>
  <c r="L28" i="23"/>
  <c r="C64" i="2" l="1"/>
  <c r="C63" i="2"/>
  <c r="L19" i="2"/>
  <c r="C45" i="2"/>
  <c r="C32" i="26"/>
  <c r="L6" i="24"/>
  <c r="L10" i="24" s="1"/>
  <c r="L34" i="23"/>
  <c r="M25" i="25"/>
  <c r="M26" i="25" s="1"/>
  <c r="L35" i="23"/>
  <c r="L23" i="2"/>
  <c r="L20" i="2"/>
  <c r="L22" i="2"/>
  <c r="L16" i="24" l="1"/>
  <c r="L32" i="24" s="1"/>
  <c r="L33" i="24"/>
  <c r="L3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9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900-000007000000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00000000-0006-0000-09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9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9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9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9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A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A00-000009000000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00000000-0006-0000-0A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A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A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A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A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31" authorId="0" shapeId="0" xr:uid="{00000000-0006-0000-0A00-000007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32" authorId="0" shapeId="0" xr:uid="{00000000-0006-0000-0A00-000008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B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B00-000007000000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00000000-0006-0000-0B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B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B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B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B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C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C00-000007000000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00000000-0006-0000-0C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C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C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C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C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D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D00-000007000000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00000000-0006-0000-0D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D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D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D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D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E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E00-000007000000}">
      <text>
        <r>
          <rPr>
            <sz val="10"/>
            <rFont val="Arial"/>
            <family val="2"/>
          </rPr>
          <t>Review-2 note: Y10 unit GM still ~86% for V6 - BoM floor doesn't bite because intrinsic SW/AI BoM is small. Defense-software comps typically 50-65% GM. Consider adding services-cost line (deployment, custom integration, classified support) to V6 COGS if pursuing investor scrutiny.</t>
        </r>
      </text>
    </comment>
    <comment ref="E8" authorId="0" shapeId="0" xr:uid="{00000000-0006-0000-0E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E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E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E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E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12" authorId="0" shapeId="0" xr:uid="{00000000-0006-0000-1200-000001000000}">
      <text>
        <r>
          <rPr>
            <sz val="10"/>
            <rFont val="Arial"/>
            <family val="2"/>
          </rPr>
          <t>C4 fix: Platform NRE split into capitalized (60%, intangibles) and expensed (40%, includes implied external/contractor engineering services). Capitalized portion amortizes 6yr SL via D&amp;A.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D23" authorId="0" shapeId="0" xr:uid="{00000000-0006-0000-1500-000001000000}">
      <text>
        <r>
          <rPr>
            <sz val="10"/>
            <rFont val="Arial"/>
            <family val="2"/>
          </rPr>
          <t>C5 fix: tax = MAX(Regular, MAT) − MAT credit utilized. Regular = 25% on (PBT − NOL utilized). NOL pool tracked on rows 27-31. MAT credit asset rows 35-38.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C12" authorId="0" shapeId="0" xr:uid="{00000000-0006-0000-1600-000001000000}">
      <text>
        <r>
          <rPr>
            <sz val="10"/>
            <rFont val="Arial"/>
            <family val="2"/>
          </rPr>
          <t>m7: Day-0 (opening Y1) NWC is implicitly zero, so the full Y1 NWC of AR+Inv−AP charges to ΔWC in Y1. For a Y1 startup this is realistic; flagged here for transparency.</t>
        </r>
      </text>
    </comment>
  </commentList>
</comments>
</file>

<file path=xl/sharedStrings.xml><?xml version="1.0" encoding="utf-8"?>
<sst xmlns="http://schemas.openxmlformats.org/spreadsheetml/2006/main" count="1794" uniqueCount="935">
  <si>
    <t>NEW-AGE DEFENCE PRIME  |  10-YEAR STRATEGIC PLAN</t>
  </si>
  <si>
    <t>Platform-Based Engineering - Multi-Domain (Air | Land | Sea | Cyber)</t>
  </si>
  <si>
    <t>Company thesis</t>
  </si>
  <si>
    <t>A new-age defense prime built on owned IP across six product verticals. All six are already designed; V2 EW/SIGINT is GSQR-compliant with a committed Rs.200 Cr iDEX MoQ for 10 airborne ESM units now in prototype trials. Capital deployed against prototyping, qualification, and production line stand-up - not greenfield invention. Five reusable platform modules (RF, DSP, SysEng, Embedded/SW, AI/ML) compound R&amp;D leverage across verticals.</t>
  </si>
  <si>
    <t>Operating model</t>
  </si>
  <si>
    <t>Industrialise mature designs in parallel. Cross-functional product squads, short qualification cycles (12-24 months MVP-to-field) enabled by pre-existing design IP and 10% bank-confirmed BG cash margin. Concurrent development + production across verticals.</t>
  </si>
  <si>
    <t>Product verticals</t>
  </si>
  <si>
    <t>1) AESA Radar (first ship Y2)  |  2) EW &amp; SIGINT (Rs.200 Cr iDEX MoQ in trials, ship Y1)  |  3) Counter-UAS (Y3)  |  4) MALE ISR UAS (end-Y3)  |  5) Autonomous AUV/USV (Y3)  |  6) Military AI modules (Y2)</t>
  </si>
  <si>
    <t>Core USP</t>
  </si>
  <si>
    <t>Owned IP across six fielded product lines inside Y3. Five reusable platform modules. Bank-confirmed 10% BG margin from Day 1 unlocks capital efficiency. iDEX-validated ESM anchor de-risks the funding ask. Cross-domain coverage Air/Land/Sea/Cyber from a single engineering org.</t>
  </si>
  <si>
    <t>Planning horizon</t>
  </si>
  <si>
    <t>10 years  |  Currency: INR Crores  |  All cells with yellow background are inputs.</t>
  </si>
  <si>
    <t>Cell colour key</t>
  </si>
  <si>
    <t>Yellow = input  |  Light blue = calculated  |  Darker blue = total/subtotal  |  Navy bar = section header</t>
  </si>
  <si>
    <t>Read order</t>
  </si>
  <si>
    <t>Cover to KPIs to Strategy to MarketPositioning to Roadmap to Platform to ReuseMatrix to Assumptions to V1..V6 (per-vertical) to Revenue to Headcount to R&amp;D_NRE to Capex to Opex to P&amp;L to CashFlow to Funding to BreakEven</t>
  </si>
  <si>
    <t>Product verticals at a glance</t>
  </si>
  <si>
    <t>Code</t>
  </si>
  <si>
    <t>Vertical</t>
  </si>
  <si>
    <t>Domain</t>
  </si>
  <si>
    <t>Launch</t>
  </si>
  <si>
    <t>Sheet</t>
  </si>
  <si>
    <t>V1</t>
  </si>
  <si>
    <t>AESA Radar</t>
  </si>
  <si>
    <t>Air/Land/Sea (RF)</t>
  </si>
  <si>
    <t>Y2</t>
  </si>
  <si>
    <t>V1_AESA</t>
  </si>
  <si>
    <t>V2</t>
  </si>
  <si>
    <t>Electronic Warfare &amp; SIGINT</t>
  </si>
  <si>
    <t>Air/Land/Sea (RF + DSP)</t>
  </si>
  <si>
    <t>Y1</t>
  </si>
  <si>
    <t>V2_EW_SIGINT</t>
  </si>
  <si>
    <t>V3</t>
  </si>
  <si>
    <t>Counter-UAS (Anti-Drone)</t>
  </si>
  <si>
    <t>Land/Air (RF + AI fusion)</t>
  </si>
  <si>
    <t>V3_CUAS</t>
  </si>
  <si>
    <t>V4</t>
  </si>
  <si>
    <t>MALE-class ISR UAS</t>
  </si>
  <si>
    <t>Air (SysEng + SW + AI)</t>
  </si>
  <si>
    <t>Y4</t>
  </si>
  <si>
    <t>V4_UAS_MALE</t>
  </si>
  <si>
    <t>V5</t>
  </si>
  <si>
    <t>Autonomous Systems (AUV/USV)</t>
  </si>
  <si>
    <t>Sea (SysEng + SW + AI)</t>
  </si>
  <si>
    <t>Y3</t>
  </si>
  <si>
    <t>V5_Autonomous</t>
  </si>
  <si>
    <t>V6</t>
  </si>
  <si>
    <t>Military AI Systems</t>
  </si>
  <si>
    <t>Cross-domain (AI/SW)</t>
  </si>
  <si>
    <t>V6_MilAI</t>
  </si>
  <si>
    <t>CXO EXECUTIVE SUMMARY</t>
  </si>
  <si>
    <t>Year 10 Revenue</t>
  </si>
  <si>
    <t>Year 10 EBITDA (margin)</t>
  </si>
  <si>
    <t>10-Yr Cumulative FCF</t>
  </si>
  <si>
    <t>IRR (10-Yr FCF)</t>
  </si>
  <si>
    <t>NPV @ Disc. Rate (WACC)</t>
  </si>
  <si>
    <t>Executive KPI Dashboard - Diversified Defense &amp; Aerospace</t>
  </si>
  <si>
    <t>Metric</t>
  </si>
  <si>
    <t>Y5</t>
  </si>
  <si>
    <t>Y6</t>
  </si>
  <si>
    <t>Y7</t>
  </si>
  <si>
    <t>Y8</t>
  </si>
  <si>
    <t>Y9</t>
  </si>
  <si>
    <t>Y10</t>
  </si>
  <si>
    <t>Total revenue</t>
  </si>
  <si>
    <t>Revenue growth Y/Y</t>
  </si>
  <si>
    <t>Gross profit</t>
  </si>
  <si>
    <t>Gross margin %</t>
  </si>
  <si>
    <t>R&amp;D / NRE expense</t>
  </si>
  <si>
    <t>Counterfactual: NRE avoided by platform reuse (NOT realized cash)</t>
  </si>
  <si>
    <t>EBITDA</t>
  </si>
  <si>
    <t>EBITDA margin %</t>
  </si>
  <si>
    <t>Net income</t>
  </si>
  <si>
    <t>Free cash flow</t>
  </si>
  <si>
    <t>Cumulative FCF</t>
  </si>
  <si>
    <t>Cash balance (EoY, deployable)</t>
  </si>
  <si>
    <t>Restricted cash (BG collateral)</t>
  </si>
  <si>
    <t>Total cash (incl. restricted)</t>
  </si>
  <si>
    <t>Net cash (deployable = Total − Restricted)</t>
  </si>
  <si>
    <t>Contract liabilities (customer advances, EoY)</t>
  </si>
  <si>
    <t>Bank guarantees outstanding (PBG + ABG)</t>
  </si>
  <si>
    <t>Equity raised</t>
  </si>
  <si>
    <t>Debt balance (EoY)</t>
  </si>
  <si>
    <t>Total headcount (EoY)</t>
  </si>
  <si>
    <t>Revenue per employee</t>
  </si>
  <si>
    <t>Capex (gross)</t>
  </si>
  <si>
    <t>Current ratio (CA / CL = AP + Customer Advances)</t>
  </si>
  <si>
    <t>ROIC (NOPAT / Debt+Equity)</t>
  </si>
  <si>
    <t>Net Working Capital</t>
  </si>
  <si>
    <t>10-year cumulative &amp; strategic indicators</t>
  </si>
  <si>
    <t>Cumulative revenue (10 yr)</t>
  </si>
  <si>
    <t>Cumulative EBITDA (10 yr)</t>
  </si>
  <si>
    <t>Cumulative net income (10 yr)</t>
  </si>
  <si>
    <t>Cumulative R&amp;D / NRE expense</t>
  </si>
  <si>
    <t>Cumulative NRE saved by platform</t>
  </si>
  <si>
    <t>Total equity raised</t>
  </si>
  <si>
    <t>Total Capex (10 yr)</t>
  </si>
  <si>
    <t>NPV of FCF (WACC)</t>
  </si>
  <si>
    <t>IRR of FCF</t>
  </si>
  <si>
    <t>Peak cumulative cash deficit</t>
  </si>
  <si>
    <t>First EBITDA-positive year</t>
  </si>
  <si>
    <t>First FCF-positive year</t>
  </si>
  <si>
    <t>R&amp;D bucket accounting summary</t>
  </si>
  <si>
    <t>Weighted Platform R&amp;D capitalisation %</t>
  </si>
  <si>
    <t>Research expensed</t>
  </si>
  <si>
    <t>Development capitalised</t>
  </si>
  <si>
    <t>Development expensed / not capitalisation eligible</t>
  </si>
  <si>
    <t>Net capitalised R&amp;D intangible asset</t>
  </si>
  <si>
    <t>Terminal Value &amp; Equity Returns (memo)</t>
  </si>
  <si>
    <t>Y10 EBITDA (₹ Cr)</t>
  </si>
  <si>
    <t>Y10 FCF (₹ Cr)</t>
  </si>
  <si>
    <t>TV @ 12x Y10 EBITDA</t>
  </si>
  <si>
    <t>TV @ Gordon (g=3%, r=WACC)</t>
  </si>
  <si>
    <t>PV of TV @ Y0 (12x case)</t>
  </si>
  <si>
    <t>PV of TV @ Y0 (Gordon case)</t>
  </si>
  <si>
    <t>Equity NPV incl. TV (12x case)</t>
  </si>
  <si>
    <t>Equity NPV incl. TV (Gordon case)</t>
  </si>
  <si>
    <t>Note</t>
  </si>
  <si>
    <t>IRR incl. TV not auto-computed; with PV of TV ~Rs.5-7K Cr against Rs.1,100 Cr deployed, IRR incl. TV typically jumps 8-12 percentage points vs 10-yr FCF-only IRR.</t>
  </si>
  <si>
    <t>Strategic Narrative - New-Age Defense Prime</t>
  </si>
  <si>
    <t>Vision (10-yr)</t>
  </si>
  <si>
    <t>Become the reference multi-domain defense technology firm of the new-age prime model - supplier of RF, autonomy and AI products across Air, Land, Sea and Cyber, anchored on a single, deeply reusable engineering platform and shipped on commercial-software cycle times.</t>
  </si>
  <si>
    <t>Mission</t>
  </si>
  <si>
    <t>Industrialise six pre-designed defense product lines on commercial-software cycle times. Convert owned IP and the iDEX-anchored ESM contract into a defensible new-age prime: lower NRE per product, faster qualification, compounding gross margin from Year 1.</t>
  </si>
  <si>
    <t>New-age prime - operating model</t>
  </si>
  <si>
    <t>Operating thesis vs. legacy primes</t>
  </si>
  <si>
    <t>Multi-domain autonomous + RF systems provider operating like a software company. One certifiable platform, six product lines fielded in 5 years, three domains. We out-cycle single-point vendors on cost-to-deliver and time-to-fielding, and out-scale narrow startups on capability breadth.</t>
  </si>
  <si>
    <t>Strategic pillars</t>
  </si>
  <si>
    <t>Capability waves (compressed)</t>
  </si>
  <si>
    <t>Margin trajectory (model output)</t>
  </si>
  <si>
    <t>Funding strategy</t>
  </si>
  <si>
    <t>Three stage-gated equity rounds totalling Rs.1,100 Cr (Seed 450, Series A 400, Series B 250) plus Rs.200 Cr venture/PSU debt and Rs.26.5 Cr iDEX/ADITI non-dilutive. BG cash margin 10% (existing facility) frees ~Rs.374 Cr of deployable cash vs legacy 100% margin assumption. No reliance on grant capital for survival - all milestones cash-self-sustaining post-Series B.</t>
  </si>
  <si>
    <t>Key risks &amp; mitigants</t>
  </si>
  <si>
    <t>Schedule slip on hardware qualification (mitigant: small cert team + partner-lab leverage + MVP-first releases). Export-control restrictions (mitigant: dual variant ITAR/EAR99 builds, DCS workflow). Talent (mitigant: cleared-engineer pipeline + remote-first software roles + university programs). Customer concentration (mitigant: 6-vertical diversification + allied FMS pipeline from Y2).</t>
  </si>
  <si>
    <t>How to read this workbook</t>
  </si>
  <si>
    <t>Strategy to Roadmap to Platform to ReuseMatrix to V1..V6 (verticals) to Revenue (consolidated) to Headcount to R&amp;D_NRE (with reuse savings) to Capex to Opex to P&amp;L to CashFlow to Funding to BreakEven to KPIs.</t>
  </si>
  <si>
    <t>Competitive landscape - multi-domain platform vs. single-point vendors</t>
  </si>
  <si>
    <t>Capability dimension</t>
  </si>
  <si>
    <t>Our platform firm</t>
  </si>
  <si>
    <t>Tier-1 prime (broad)</t>
  </si>
  <si>
    <t>Specialty RF vendor</t>
  </si>
  <si>
    <t>C-UAS pure-play</t>
  </si>
  <si>
    <t>UAS pure-play</t>
  </si>
  <si>
    <t>AUV/USV specialist</t>
  </si>
  <si>
    <t>Defense AI startup</t>
  </si>
  <si>
    <t>Multi-domain coverage (Air/Land/Sea)</t>
  </si>
  <si>
    <t>RF / AESA capability</t>
  </si>
  <si>
    <t>EW / SIGINT capability</t>
  </si>
  <si>
    <t>Counter-UAS integrated solutions</t>
  </si>
  <si>
    <t>MALE-class UAS platforms</t>
  </si>
  <si>
    <t>Autonomous AUV/USV</t>
  </si>
  <si>
    <t>Military AI / sensor fusion</t>
  </si>
  <si>
    <t>Platform reuse / amortized NRE</t>
  </si>
  <si>
    <t>Time-to-market for new variants</t>
  </si>
  <si>
    <t>Cost-to-deliver (NRE per $ revenue)</t>
  </si>
  <si>
    <t>Cleared workforce / accredited facilities</t>
  </si>
  <si>
    <t>Export / FMS readiness</t>
  </si>
  <si>
    <t>Software/AI revenue mix (margin)</t>
  </si>
  <si>
    <t>Bid agility (mid-tier programs)</t>
  </si>
  <si>
    <t>Capital efficiency (rev per $ raised)</t>
  </si>
  <si>
    <t>Composite score</t>
  </si>
  <si>
    <t>Positioning summary</t>
  </si>
  <si>
    <t>Score legend</t>
  </si>
  <si>
    <t>0 = absent  |  1 = weak  |  2 = partial  |  3 = strong  |  4 = leader</t>
  </si>
  <si>
    <t>Differentiation</t>
  </si>
  <si>
    <t>Only the platform firm spans all three domains AND amortizes RF/DSP/SysEng/SW/AI across six product lines. Pure-plays may lead in their narrow niche, but pay full NRE per product and lack cross-domain pull-through revenue.</t>
  </si>
  <si>
    <t>Primes vs. us</t>
  </si>
  <si>
    <t>Primes lead in scale, customer access and clearances; we lead in cost-to-deliver, time-to-market, and platform reuse. We compete on the 'mid-tier program' tier (sub-INR 500 Cr) where T1 primes are unprofitable.</t>
  </si>
  <si>
    <t>Path to category leadership</t>
  </si>
  <si>
    <t>10-Year Strategic Roadmap - Platform Waves &amp; Vertical Milestones</t>
  </si>
  <si>
    <t>Track</t>
  </si>
  <si>
    <t>Phase / focus</t>
  </si>
  <si>
    <t>Platform M1: RF</t>
  </si>
  <si>
    <t>Carried over from ESM - productize</t>
  </si>
  <si>
    <t>Q</t>
  </si>
  <si>
    <t>S</t>
  </si>
  <si>
    <t>X</t>
  </si>
  <si>
    <t>Platform M2: DSP</t>
  </si>
  <si>
    <t>Platform M3: SysEng</t>
  </si>
  <si>
    <t>MIL-STD / integration framework</t>
  </si>
  <si>
    <t>D</t>
  </si>
  <si>
    <t>Platform M4: SW</t>
  </si>
  <si>
    <t>Mission SW / C2 - productize</t>
  </si>
  <si>
    <t>Platform M5: AI/ML</t>
  </si>
  <si>
    <t>Autonomy / fusion (new build)</t>
  </si>
  <si>
    <t>V2 EW &amp; SIGINT</t>
  </si>
  <si>
    <t>ESM in production Day-1 + scale-up</t>
  </si>
  <si>
    <t>V6 Military AI</t>
  </si>
  <si>
    <t>Edge AI + Cloud SaaS - ship Y1</t>
  </si>
  <si>
    <t>V1 AESA Radar</t>
  </si>
  <si>
    <t>Variants A/B/C - qualify Y1 ship Y2</t>
  </si>
  <si>
    <t>V3 C-UAS</t>
  </si>
  <si>
    <t>MVP Y2 - multi-layer integrated</t>
  </si>
  <si>
    <t>V5 Autonomous AUV/USV</t>
  </si>
  <si>
    <t>Small AUV Y3 to large AUV + USV</t>
  </si>
  <si>
    <t>R</t>
  </si>
  <si>
    <t>V4 MALE UAS</t>
  </si>
  <si>
    <t>Airframe + airworthiness (longest)</t>
  </si>
  <si>
    <t>Facilities &amp; cert</t>
  </si>
  <si>
    <t>Partner labs Y1-Y2 to owned Y3+</t>
  </si>
  <si>
    <t>Funding milestones</t>
  </si>
  <si>
    <t>SeedtoAtoBtoCtoD (smaller late stages)</t>
  </si>
  <si>
    <t>Export / FMS</t>
  </si>
  <si>
    <t>DCS approvals + allied bids from Y2</t>
  </si>
  <si>
    <t>Legend</t>
  </si>
  <si>
    <t>Research / seed</t>
  </si>
  <si>
    <t>Develop</t>
  </si>
  <si>
    <t>Qualify / cert</t>
  </si>
  <si>
    <t>Ship / scale</t>
  </si>
  <si>
    <t>Export / scale-out</t>
  </si>
  <si>
    <t>Shared Platform Modules - Investment Profile &amp; Maturity (TRL-style 0..1)</t>
  </si>
  <si>
    <t>Module</t>
  </si>
  <si>
    <t>Scope</t>
  </si>
  <si>
    <t>A. Platform NRE investment by module (₹ Cr)</t>
  </si>
  <si>
    <t>RF / Microwave (T/R modules, receivers, antennas, GaN MMICs)</t>
  </si>
  <si>
    <t>X/S/Ku-band T/R modules, GaN PA/LNA, beamforming, antenna design - carried over from ESM, now extended to AESA and C-UAS.</t>
  </si>
  <si>
    <t>DSP / Signal Processing (FPGA, SDR, beamforming)</t>
  </si>
  <si>
    <t>Real-time FPGA pipelines, SDR firmware, DBF - already fielded in ESM; reused across Radar, C-UAS, AI sensor fusion.</t>
  </si>
  <si>
    <t>Systems Engineering (mech, thermal, MIL-STD, integration)</t>
  </si>
  <si>
    <t>MIL-STD-810/461/704 hardening, mechanical/thermal, V&amp;V - every product line consumes this.</t>
  </si>
  <si>
    <t>Embedded &amp; Mission Software (RTOS, mission systems, C2)</t>
  </si>
  <si>
    <t>RTOS, mission computer SW, C2 interfaces, cybersecurity, MOSA/FACE - productized early, shipped with ESM and Mil-AI in Y1.</t>
  </si>
  <si>
    <t>AI / ML (computer vision, sensor fusion, autonomy, MLOps)</t>
  </si>
  <si>
    <t>CV, sensor fusion, autonomy stack, MLOps - fastest-growing module; heaviest reuse in C-UAS, UAS, AUV/USV, MilAI.</t>
  </si>
  <si>
    <t>Total platform NRE</t>
  </si>
  <si>
    <t>Sum of all module investment</t>
  </si>
  <si>
    <t>Cumulative platform NRE</t>
  </si>
  <si>
    <t>B. Platform module maturity (0..1)  ×  global reuse multiplier</t>
  </si>
  <si>
    <t>TRL-style progression - used as reuse strength</t>
  </si>
  <si>
    <t>C. Effective reuse strength per module (= maturity × multiplier, capped 1)</t>
  </si>
  <si>
    <t>RF / Microwave (T/R modules, receivers, antennas, GaN MMICs) - effective</t>
  </si>
  <si>
    <t>DSP / Signal Processing (FPGA, SDR, beamforming) - effective</t>
  </si>
  <si>
    <t>Systems Engineering (mech, thermal, MIL-STD, integration) - effective</t>
  </si>
  <si>
    <t>Embedded &amp; Mission Software (RTOS, mission systems, C2) - effective</t>
  </si>
  <si>
    <t>AI / ML (computer vision, sensor fusion, autonomy, MLOps) - effective</t>
  </si>
  <si>
    <t>R&amp;D Buckets - Evidence-led Platform NRE Capitalisation</t>
  </si>
  <si>
    <t>Policy</t>
  </si>
  <si>
    <t>Evidence-led: research is expensed; only qualifying development is capitalised; non-eligible development is expensed.</t>
  </si>
  <si>
    <t>A. Source Platform NRE by module (from Platform sheet)</t>
  </si>
  <si>
    <t>Source / Check</t>
  </si>
  <si>
    <t>RF / Microwave</t>
  </si>
  <si>
    <t>DSP / Signal Processing</t>
  </si>
  <si>
    <t>Systems Engineering</t>
  </si>
  <si>
    <t>Embedded &amp; Mission Software</t>
  </si>
  <si>
    <t>AI / ML</t>
  </si>
  <si>
    <t>Total Platform NRE</t>
  </si>
  <si>
    <t>Check to Platform!D11:M11</t>
  </si>
  <si>
    <t>B. Research - expensed % (input)</t>
  </si>
  <si>
    <t>Accounting treatment</t>
  </si>
  <si>
    <t>Research phase - expense immediately</t>
  </si>
  <si>
    <t>C. Development - capitalised % (input)</t>
  </si>
  <si>
    <t>Qualifying development - capitalise</t>
  </si>
  <si>
    <t>D. Development - expensed / not capitalisation eligible % (calculated)</t>
  </si>
  <si>
    <t>Formula</t>
  </si>
  <si>
    <t>1 - Research% - Capitalised%</t>
  </si>
  <si>
    <t>E. Bucket % check (must equal 100%)</t>
  </si>
  <si>
    <t>Check</t>
  </si>
  <si>
    <t>Research + capitalised + non-eligible</t>
  </si>
  <si>
    <t>Check status</t>
  </si>
  <si>
    <t>OK if all years/modules = 100%</t>
  </si>
  <si>
    <t>F. Research - expensed amount (INR Cr)</t>
  </si>
  <si>
    <t>Source NRE x Research%</t>
  </si>
  <si>
    <t>Total research expensed</t>
  </si>
  <si>
    <t>G. Development - capitalised amount (INR Cr)</t>
  </si>
  <si>
    <t>Source NRE x Capitalised%</t>
  </si>
  <si>
    <t>Total development capitalised</t>
  </si>
  <si>
    <t>H. Development - expensed / not capitalisation eligible amount (INR Cr)</t>
  </si>
  <si>
    <t>Source NRE x Non-eligible development%</t>
  </si>
  <si>
    <t>Total development expensed / not eligible</t>
  </si>
  <si>
    <t>I. Financial statement outputs</t>
  </si>
  <si>
    <t>Output</t>
  </si>
  <si>
    <t>Formula / destination</t>
  </si>
  <si>
    <t>Total book-expensed Platform R&amp;D</t>
  </si>
  <si>
    <t>Research expensed + development expensed / not eligible</t>
  </si>
  <si>
    <t>Capitalised R&amp;D additions</t>
  </si>
  <si>
    <t>Feeds R&amp;D_NRE row 16 and CashFlow CFI</t>
  </si>
  <si>
    <t>Capitalised R&amp;D additions / Platform NRE</t>
  </si>
  <si>
    <t>Amortisation of capitalised R&amp;D</t>
  </si>
  <si>
    <t>Straight-line using Assumptions!C58</t>
  </si>
  <si>
    <t>Gross capitalised R&amp;D</t>
  </si>
  <si>
    <t>Cumulative capitalised development</t>
  </si>
  <si>
    <t>Accumulated amortisation</t>
  </si>
  <si>
    <t>Cumulative amortisation</t>
  </si>
  <si>
    <t>Gross capitalised R&amp;D - accumulated amortisation</t>
  </si>
  <si>
    <t>Bucketed Platform NRE check</t>
  </si>
  <si>
    <t>Should be zero</t>
  </si>
  <si>
    <t>J. Tax bridge memo (for P&amp;L tax section)</t>
  </si>
  <si>
    <t>Book amortisation add-back</t>
  </si>
  <si>
    <t>Added back to book PBT for tax-basis PBT</t>
  </si>
  <si>
    <t>Eligible capitalised development R&amp;D deduction</t>
  </si>
  <si>
    <t>Deducted in tax-basis PBT subject to CA review</t>
  </si>
  <si>
    <t>Tax-basis PBT after R&amp;D bridge</t>
  </si>
  <si>
    <t>Book PBT + amortisation add-back - current cap R&amp;D deduction</t>
  </si>
  <si>
    <t>Notes</t>
  </si>
  <si>
    <t>Research is expensed immediately. Capitalised development requires evidence under Ind AS 38 / AS 26. Non-eligible development is expensed for book purposes; tax treatment is modelled separately in the P&amp;L bridge and remains subject to CA review.</t>
  </si>
  <si>
    <t>gross x (1 - reuse savings); all values in INR Crores</t>
  </si>
  <si>
    <t>A. Module composition per vertical (rows sum to 100%) - input</t>
  </si>
  <si>
    <t>M1_RF</t>
  </si>
  <si>
    <t>M2_DSP</t>
  </si>
  <si>
    <t>M3_SYSENG</t>
  </si>
  <si>
    <t>M4_SW</t>
  </si>
  <si>
    <t>M5_AI</t>
  </si>
  <si>
    <t>Row total (check)</t>
  </si>
  <si>
    <t>V1 - AESA Radar</t>
  </si>
  <si>
    <t>V2 - Electronic Warfare &amp; SIGINT</t>
  </si>
  <si>
    <t>V3 - Counter-UAS (Anti-Drone)</t>
  </si>
  <si>
    <t>V4 - MALE-class ISR UAS</t>
  </si>
  <si>
    <t>V5 - Autonomous Systems (AUV/USV)</t>
  </si>
  <si>
    <t>V6 - Military AI Systems</t>
  </si>
  <si>
    <t>B. Effective reuse savings % per vertical per year  (= composition × platform maturity)</t>
  </si>
  <si>
    <t>C. Vertical-specific NRE - gross (standalone) vs leveraged (post platform reuse)</t>
  </si>
  <si>
    <t>Vertical / line</t>
  </si>
  <si>
    <t>Driver</t>
  </si>
  <si>
    <t>AESA Gross NRE</t>
  </si>
  <si>
    <t>Total ~209 INR Cr over 10y</t>
  </si>
  <si>
    <t>Gross NRE</t>
  </si>
  <si>
    <t>Gross = Standalone NRE × Gross Drivers, Net = Gross × (1 − Reuse Savings), where savings from 2026 onwards</t>
  </si>
  <si>
    <t>V1 NRE savings from platform - ₹ Cr/yr</t>
  </si>
  <si>
    <t>EW/SIGINT Gross NRE</t>
  </si>
  <si>
    <t>Total ~114 INR Cr over 10y</t>
  </si>
  <si>
    <t>EW/SIGINT</t>
  </si>
  <si>
    <t>Gross = Standalone NRE × Gross Drivers, Net = Gross × (1 − Reuse Savings)</t>
  </si>
  <si>
    <t>V2 NRE savings from platform - ₹ Cr/yr</t>
  </si>
  <si>
    <t>C-UAS Gross NRE</t>
  </si>
  <si>
    <t>Total ~152 INR Cr over 10y</t>
  </si>
  <si>
    <t>C-UAS</t>
  </si>
  <si>
    <t>V3 NRE savings from platform - ₹ Cr/yr</t>
  </si>
  <si>
    <t>MALE UAS Gross NRE</t>
  </si>
  <si>
    <t>Total ~523 INR Cr over 10y</t>
  </si>
  <si>
    <t>MALE UAS</t>
  </si>
  <si>
    <t>V4 NRE savings from platform - ₹ Cr/yr</t>
  </si>
  <si>
    <t>Autonomous Gross NRE</t>
  </si>
  <si>
    <t>Total ~247 INR Cr over 10y</t>
  </si>
  <si>
    <t>Autonomous Systems</t>
  </si>
  <si>
    <t>V5 NRE savings from platform - ₹ Cr/yr</t>
  </si>
  <si>
    <t>Mil AI Gross NRE</t>
  </si>
  <si>
    <t>Total ~105 INR Cr over 10y</t>
  </si>
  <si>
    <t>Mil AI / Analytics</t>
  </si>
  <si>
    <t>V6 NRE savings from platform - ₹ Cr/yr</t>
  </si>
  <si>
    <t>D. Portfolio NRE totals  (sum across V1..V6 + standalone platform investment)</t>
  </si>
  <si>
    <t>Aggregate line</t>
  </si>
  <si>
    <t>Σ Gross NRE (verticals, standalone)</t>
  </si>
  <si>
    <t>Σ Leveraged NRE (verticals, post-reuse)</t>
  </si>
  <si>
    <t>Σ Reuse savings (verticals)</t>
  </si>
  <si>
    <t>+ Platform NRE (shared, standalone)</t>
  </si>
  <si>
    <t>TOTAL R&amp;D / NRE expense</t>
  </si>
  <si>
    <t>Global planning assumptions</t>
  </si>
  <si>
    <t>Value</t>
  </si>
  <si>
    <t>Planning currency</t>
  </si>
  <si>
    <t>INR Crores</t>
  </si>
  <si>
    <t>Displayed in INR Crores (₹ Cr). Underlying inputs in absolute INR; 1 Cr = 10^7 INR; 1 USD = 95 INR.</t>
  </si>
  <si>
    <t>Planning horizon (years)</t>
  </si>
  <si>
    <t>10-year strategic horizon.</t>
  </si>
  <si>
    <t>Corporate tax rate</t>
  </si>
  <si>
    <t>Blended.</t>
  </si>
  <si>
    <t>Discount rate (WACC)</t>
  </si>
  <si>
    <t>Used for NPV - 18% reflects unlisted Indian defense unlisted equity cost-of-capital (β~1.5, ERP 8-9%, Rf 7%).</t>
  </si>
  <si>
    <t>Cost escalation (annual)</t>
  </si>
  <si>
    <t>General wages + opex inflator (COGS/S&amp;M/G&amp;A roles &amp; opex).</t>
  </si>
  <si>
    <t>R&amp;D salary escalation (annual)</t>
  </si>
  <si>
    <t>[M9 fix: reduced from 12% to 4% - aligns with general Indian wage growth long-term. 12% was unsustainable over 10y.]</t>
  </si>
  <si>
    <t>BoM learning curve (per doubling)</t>
  </si>
  <si>
    <t>Wright's-law: cost factor at double cumulative volume.</t>
  </si>
  <si>
    <t>DSO (days sales outstanding)</t>
  </si>
  <si>
    <t>Realistic blended DSO: iDEX/Make-II ~90-120d, MoD CapEx ~240-365d, export ~120d. Blended 180d.</t>
  </si>
  <si>
    <t>DPO (days payable outstanding)</t>
  </si>
  <si>
    <t>Supplier terms net-45 typical for cleared vendors.</t>
  </si>
  <si>
    <t>Inventory days</t>
  </si>
  <si>
    <t>Long-lead RF/FPGA components offset by JIT mission-SW &amp; VMI.</t>
  </si>
  <si>
    <t>- (row retired)</t>
  </si>
  <si>
    <t>Legacy WC% removed. WC is now driven by DSO/DPO/Inventory schedule. Row left blank to preserve cell references below.</t>
  </si>
  <si>
    <t>S&amp;M as % of revenue</t>
  </si>
  <si>
    <t>Sales, BD, demos, exhibitions.</t>
  </si>
  <si>
    <t>G&amp;A as % of revenue</t>
  </si>
  <si>
    <t>Finance/HR/Legal/Compliance.</t>
  </si>
  <si>
    <t>Bid &amp; Proposal as % of revenue</t>
  </si>
  <si>
    <t>Capture/B&amp;P overhead in defense.</t>
  </si>
  <si>
    <t>Export control overhead</t>
  </si>
  <si>
    <t>Annual base, escalating.</t>
  </si>
  <si>
    <t>Cybersecurity / CMMC L3 overhead</t>
  </si>
  <si>
    <t>Quality / AS9100 / CMMI overhead</t>
  </si>
  <si>
    <t>Performance guarantee rate (PBG)</t>
  </si>
  <si>
    <t>PBG % of contract value held by customer's bank through delivery period.</t>
  </si>
  <si>
    <t>Advance payment rate</t>
  </si>
  <si>
    <t>Mobilization advance from MoD typical 15% against ABG.</t>
  </si>
  <si>
    <t>Bank guarantee fee (annual)</t>
  </si>
  <si>
    <t>Reduced from 1.5% given Rs.150 Cr land/factory collateral provides physical security to issuing bank.</t>
  </si>
  <si>
    <t>Cash collateral requirement</t>
  </si>
  <si>
    <t>See Backlog!63</t>
  </si>
  <si>
    <t>Year-specific schedule applied in Backlog!D63:M63 - Y1 100%, Y2 100%, Y3 50%, Y4 30%, Y5-Y10 20% (full collateral while bank track-record is being built, tapering as PBG/ABG history matures).</t>
  </si>
  <si>
    <t>Min cash reserve target</t>
  </si>
  <si>
    <t>Triggers funding rounds.</t>
  </si>
  <si>
    <t>Platform reuse maturity multiplier</t>
  </si>
  <si>
    <t>Scenario lever on reuse savings (1.0 = base).</t>
  </si>
  <si>
    <t>Defense-specific operating context</t>
  </si>
  <si>
    <t>ASP_elasticity</t>
  </si>
  <si>
    <t>ASP price erosion exponent (ASP elasticity to BoM): 0.5 means ASP declines with sqrt(BoM).</t>
  </si>
  <si>
    <t>BoM_floor</t>
  </si>
  <si>
    <t>Minimum BoM as fraction of starting BoM (learning curve floor): 0.7 means BoM cannot fall below 70% of initial.</t>
  </si>
  <si>
    <t>Contract types</t>
  </si>
  <si>
    <t>Fixed-price (FP), Cost-plus-fixed-fee (CPFF), IDIQ, FMS/Direct Commercial Sale.</t>
  </si>
  <si>
    <t>Compliance baseline</t>
  </si>
  <si>
    <t>ITAR / EAR / CMMC L3 / AS9100 / CMMI L3 - modeled in Opex.</t>
  </si>
  <si>
    <t>Qualification cycles</t>
  </si>
  <si>
    <t>MIL-STD-810 (env), -461 (EMI/EMC), -704 (power), -1275/704 - modeled in Capex (test infra).</t>
  </si>
  <si>
    <t>Export model</t>
  </si>
  <si>
    <t>Direct Commercial Sale (DCS) + FMS-eligible variants; offset obligations factored in S&amp;M.</t>
  </si>
  <si>
    <t>IP / data rights</t>
  </si>
  <si>
    <t>Default to retain Government-Purpose Rights; unlimited rights only when negotiated separately.</t>
  </si>
  <si>
    <t>Defensive moats</t>
  </si>
  <si>
    <t>Platform IP + qualified BoM + cleared personnel + accredited facilities + customer references.</t>
  </si>
  <si>
    <t>MAT rate (Minimum Alternate Tax)</t>
  </si>
  <si>
    <t>India Sec 115JB book-profit floor. Excess over regular tax becomes MAT credit asset.</t>
  </si>
  <si>
    <t>Column convention (READ BEFORE EDITING)</t>
  </si>
  <si>
    <t>Y1 column varies by sheet</t>
  </si>
  <si>
    <t>Y1 = col C on: P&amp;L, CashFlow, BalanceSheet, BreakEven, KPIs (metric rows). Y1 = col D on: Revenue, Headcount, Capex, Opex, Funding, Backlog, V1-V6, R&amp;D_NRE, Platform, ReuseMatrix. Cross-sheet formulas compensate today. DO NOT INSERT COLUMNS without re-auditing every cross-sheet reference.</t>
  </si>
  <si>
    <t>ASP price-cost elasticity exponent</t>
  </si>
  <si>
    <t>Exponent linking ASP reduction to BoM cost reduction. 0.5 = square-root relationship.</t>
  </si>
  <si>
    <t>BoM floor (% of initial)</t>
  </si>
  <si>
    <t>Minimum BoM cost as % of initial BoM after full learning curve absorption.</t>
  </si>
  <si>
    <t>Learning curve doubling basis</t>
  </si>
  <si>
    <t>Logarithm base for Wrights-law learning curve (doubles of cumulative volume).</t>
  </si>
  <si>
    <t>USD to INR conversion rate</t>
  </si>
  <si>
    <t>Planning exchange rate for any USD-based inputs.</t>
  </si>
  <si>
    <t>Revenue recognition lag (months)</t>
  </si>
  <si>
    <t>Average lag from booking to revenue recognition for hardware programs.</t>
  </si>
  <si>
    <t>MAT credit asset treatment</t>
  </si>
  <si>
    <t>On-BS</t>
  </si>
  <si>
    <t>MAT credit recognized as deferred tax asset on Balance Sheet per Ind AS 12.</t>
  </si>
  <si>
    <t>BoM learning-curve base (% of initial BoM)</t>
  </si>
  <si>
    <t>Starting unit BoM relative to input. Used in MAX(floor, base × curve^LOG(cum_units,2)).</t>
  </si>
  <si>
    <t>Log base for cumulative units</t>
  </si>
  <si>
    <t>Wright curve doubling basis. Fixed at 2.</t>
  </si>
  <si>
    <t>Backlog &amp; revenue flow drivers</t>
  </si>
  <si>
    <t>Revenue lag from booking (months - HW)</t>
  </si>
  <si>
    <t>Average months from booking to revenue recognition for hardware. Range 12-18 months.</t>
  </si>
  <si>
    <t>Product Pricing &amp; Cost Assumptions</t>
  </si>
  <si>
    <t>Average months for software/SaaS. Range 3-12 months.</t>
  </si>
  <si>
    <t>ASP price-cost elasticity exponent (power applied to BoM ratio)</t>
  </si>
  <si>
    <t>ASP_Elasticity</t>
  </si>
  <si>
    <t>% of prior-year backlog to be delivered in current year, smoothing uneven spikes.</t>
  </si>
  <si>
    <t>BoM learning curve floor (% of starting BoM)</t>
  </si>
  <si>
    <t>BoM_Floor_Pct</t>
  </si>
  <si>
    <t>Min BoM expressed as pct of starting</t>
  </si>
  <si>
    <t>BoM_Min_Pct</t>
  </si>
  <si>
    <t>BoM doubling basis for LOG</t>
  </si>
  <si>
    <t>BoM_Doubling_Base</t>
  </si>
  <si>
    <t>R&amp;D Capitalization &amp; Amortization</t>
  </si>
  <si>
    <t>Platform NRE capitalization rate</t>
  </si>
  <si>
    <t>Platform_NRE_Cap_Rate</t>
  </si>
  <si>
    <t>Capitalized NRE amortization life (years)</t>
  </si>
  <si>
    <t>NRE_Amort_Life</t>
  </si>
  <si>
    <t>Vertical NRE amortization life (years)</t>
  </si>
  <si>
    <t>Vertical_NRE_Amort_Life</t>
  </si>
  <si>
    <t>Working Capital &amp; Funding</t>
  </si>
  <si>
    <t>BG collateral cash requirement (% of contract value)</t>
  </si>
  <si>
    <t>BG_Collateral_Pct</t>
  </si>
  <si>
    <t>Bank-confirmed cash margin against PBG/ABG = 10% flat (existing facility).</t>
  </si>
  <si>
    <t>Manufacturing &amp; Warranty</t>
  </si>
  <si>
    <t>Manufacturing overhead as % of direct material + labour</t>
  </si>
  <si>
    <t>Mfg_Overhead_Pct</t>
  </si>
  <si>
    <t>Warranty &amp; support burden as % of COGS</t>
  </si>
  <si>
    <t>Warranty_Pct</t>
  </si>
  <si>
    <t>READ ONLY SUPPORTING DETAIL - Revenue is recognized via Backlog!Section L (rows 89-95). Editing units/ASP here does NOT change consolidated revenue, but DOES rescale COGS (BoM x delivered_rev / V-sheet rev). Do not edit unless you intend to re-baseline the BoM ratio.</t>
  </si>
  <si>
    <t>V1 - AESA Radar  |  Domain: Air/Land/Sea (RF)  |  Launch: Y2</t>
  </si>
  <si>
    <t>Description</t>
  </si>
  <si>
    <t>Active Electronically Scanned Array radars - second product line; leverages partly-developed ESM RF &amp; DSP front-end. First demo Y2, first deliveries Y2.</t>
  </si>
  <si>
    <t>Line</t>
  </si>
  <si>
    <t xml:space="preserve">  Variant A - X-band Airborne</t>
  </si>
  <si>
    <t>ASP / unit (₹ Cr)</t>
  </si>
  <si>
    <t>yellow = input</t>
  </si>
  <si>
    <t>BoM / unit (₹ Cr)</t>
  </si>
  <si>
    <t>Units shipped (#)</t>
  </si>
  <si>
    <t>Revenue (units × ASP)</t>
  </si>
  <si>
    <t>COGS - BoM (units × BoM)</t>
  </si>
  <si>
    <t>Contribution margin / unit</t>
  </si>
  <si>
    <t xml:space="preserve">  Variant B - S-band Ground Surveillance</t>
  </si>
  <si>
    <t xml:space="preserve">  Variant C - X-band Naval Multi-function</t>
  </si>
  <si>
    <t>V1 totals</t>
  </si>
  <si>
    <t>Total COGS (BoM)</t>
  </si>
  <si>
    <t>Total units shipped</t>
  </si>
  <si>
    <t>Gross profit (Revenue − BoM COGS)</t>
  </si>
  <si>
    <t>Cumulative revenue</t>
  </si>
  <si>
    <t>V2 - Electronic Warfare &amp; SIGINT  |  Domain: Air/Land/Sea (RF + DSP)  |  Launch: Y1</t>
  </si>
  <si>
    <t>ESM/ELINT - already partly developed at start of plan. Day-1 focus is industrialization, qualification of remaining variants, and concurrent scale-up of production &amp; sales while other verticals are still in development.</t>
  </si>
  <si>
    <t xml:space="preserve">  EW-A - Naval ESM/ELINT Suite</t>
  </si>
  <si>
    <t xml:space="preserve">  EW-B - Aerial ESM Pod (UAV/Manned)</t>
  </si>
  <si>
    <t xml:space="preserve">  EW-C - Anti-Drone Jammer (tactical)</t>
  </si>
  <si>
    <t xml:space="preserve">  EW-D - Ground SIGINT Station (strategic)</t>
  </si>
  <si>
    <t>V2 totals</t>
  </si>
  <si>
    <t>V3 - Counter-UAS (Anti-Drone)  |  Domain: Land/Air (RF + AI fusion)  |  Launch: Y2</t>
  </si>
  <si>
    <t>Multi-layered C-UAS: radar + RF + EO/IR + AI fusion + soft- and hard-kill effectors. Rapid product cycle - MVP fielded Y2 using shared RF/DSP/AI stack, scaled Y3+.</t>
  </si>
  <si>
    <t xml:space="preserve">  CUAS-A - Dismounted Soldier Kit</t>
  </si>
  <si>
    <t xml:space="preserve">  CUAS-B - Vehicle-Mounted System</t>
  </si>
  <si>
    <t xml:space="preserve">  CUAS-C - Fixed Site Integrated C-UAS</t>
  </si>
  <si>
    <t>V3 totals</t>
  </si>
  <si>
    <t>V4 - MALE-class ISR UAS  |  Domain: Air (SysEng + SW + AI)  |  Launch: Y4</t>
  </si>
  <si>
    <t>MALE UAV - longest cycle in the portfolio (airframe + airworthiness). Compressed via MOSA architecture and reuse of mission-computer/AI stack; baseline ISR ships Y4, mission variants Y5+.</t>
  </si>
  <si>
    <t xml:space="preserve">  UAS-A - MALE ISR baseline</t>
  </si>
  <si>
    <t xml:space="preserve">  UAS-B - MALE strike-capable</t>
  </si>
  <si>
    <t xml:space="preserve">  UAS-C - MALE SIGINT/EW mission variant</t>
  </si>
  <si>
    <t>V4 totals</t>
  </si>
  <si>
    <t>V5 - Autonomous Systems (AUV/USV)  |  Domain: Sea (SysEng + SW + AI)  |  Launch: Y3</t>
  </si>
  <si>
    <t>AUVs (small mine-hunting + large ASW) and USVs for persistent maritime surveillance. Rapid hull-iteration, autonomy stack reused from V6; small AUV ships Y3, large platforms Y4+.</t>
  </si>
  <si>
    <t xml:space="preserve">  AUV-A - Small AUV (mine-hunting / survey)</t>
  </si>
  <si>
    <t xml:space="preserve">  AUV-B - Large ASW-capable AUV</t>
  </si>
  <si>
    <t xml:space="preserve">  USV-A - Mid-size USV (ISR / C-UAS host)</t>
  </si>
  <si>
    <t>V5 totals</t>
  </si>
  <si>
    <t>V6 - Military AI Systems  |  Domain: Cross-domain (AI/SW)  |  Launch: Y1</t>
  </si>
  <si>
    <t>Software-led product family - Edge AI box + Cloud SaaS analytics + sensor-fusion middleware. Software-defined release cadence: shipping early, iterating quarterly.</t>
  </si>
  <si>
    <t xml:space="preserve">  AI-A - Edge AI mission box (per-platform)</t>
  </si>
  <si>
    <t xml:space="preserve">  AI-C - Sensor-fusion middleware license</t>
  </si>
  <si>
    <t>V6 totals</t>
  </si>
  <si>
    <t>READ ONLY SUPPORTING DETAIL upstream - Revenue (rows 6-12) is sourced from Backlog!D89:M95 (Section L deliveries). V1-V6 sheets retained as unit/ASP analytics only; their edits do not flow into consolidated revenue.</t>
  </si>
  <si>
    <t>Consolidated Revenue &amp; COGS by Vertical - Revenue now DERIVED from Backlog deliveries (% of opening backlog by vertical).</t>
  </si>
  <si>
    <t>V1-V6 unit-shipment plans retained as supporting detail; COGS scaled proportionally to preserve gross margin %.</t>
  </si>
  <si>
    <t>Stream</t>
  </si>
  <si>
    <t>Original V-sheet revenue (memo)</t>
  </si>
  <si>
    <t>A. Revenue by vertical (₹ Cr)</t>
  </si>
  <si>
    <t>Revenue</t>
  </si>
  <si>
    <t>TOTAL REVENUE</t>
  </si>
  <si>
    <t>B. Revenue mix (% of total)</t>
  </si>
  <si>
    <t>V1 mix</t>
  </si>
  <si>
    <t>V2 mix</t>
  </si>
  <si>
    <t>V3 mix</t>
  </si>
  <si>
    <t>V4 mix</t>
  </si>
  <si>
    <t>V5 mix</t>
  </si>
  <si>
    <t>V6 mix</t>
  </si>
  <si>
    <t>C. COGS - BoM by vertical (₹ Cr)</t>
  </si>
  <si>
    <t>COGS BoM</t>
  </si>
  <si>
    <t>TOTAL COGS - BoM</t>
  </si>
  <si>
    <t>D. Gross profit (Revenue − BoM COGS, before COGS personnel)</t>
  </si>
  <si>
    <t>Gross profit (BoM only)</t>
  </si>
  <si>
    <t>Note: Revenue = Backlog!Deliveries (rows 89-94). Edit per-vertical delivery rates in Backlog!D82:M87.</t>
  </si>
  <si>
    <t>COGS scaled: V-sheet BoM × (delivered revenue / V-sheet revenue) so gross margin % follows the underlying unit economics.</t>
  </si>
  <si>
    <t>Backlog, Pipeline &amp; Book-to-Bill - Defense Contract Mechanics</t>
  </si>
  <si>
    <t>Default</t>
  </si>
  <si>
    <t>A. Target book-to-bill ratios (scenario checks)</t>
  </si>
  <si>
    <t xml:space="preserve">  V1 - AESA Radar B:B</t>
  </si>
  <si>
    <t xml:space="preserve">  V2 - Electronic Warfare &amp; SIGINT B:B</t>
  </si>
  <si>
    <t xml:space="preserve">  V3 - Counter-UAS (Anti-Drone) B:B</t>
  </si>
  <si>
    <t xml:space="preserve">  V4 - MALE-class ISR UAS B:B</t>
  </si>
  <si>
    <t xml:space="preserve">  V5 - Autonomous Systems (AUV/USV) B:B</t>
  </si>
  <si>
    <t xml:space="preserve">  V6 - Military AI Systems B:B</t>
  </si>
  <si>
    <t>B. Probability of win (Pwin) on qualified pipeline (yellow inputs)</t>
  </si>
  <si>
    <t xml:space="preserve">  V1 Pwin</t>
  </si>
  <si>
    <t xml:space="preserve">  V2 Pwin</t>
  </si>
  <si>
    <t xml:space="preserve">  V3 Pwin</t>
  </si>
  <si>
    <t xml:space="preserve">  V4 Pwin</t>
  </si>
  <si>
    <t xml:space="preserve">  V5 Pwin</t>
  </si>
  <si>
    <t xml:space="preserve">  V6 Pwin</t>
  </si>
  <si>
    <t>C. Bookings (new contract awards) - input driver</t>
  </si>
  <si>
    <t xml:space="preserve">  V1 bookings</t>
  </si>
  <si>
    <t xml:space="preserve">  V2 bookings</t>
  </si>
  <si>
    <t xml:space="preserve">  V3 bookings</t>
  </si>
  <si>
    <t xml:space="preserve">  V4 bookings</t>
  </si>
  <si>
    <t xml:space="preserve">  V5 bookings</t>
  </si>
  <si>
    <t xml:space="preserve">  V6 bookings</t>
  </si>
  <si>
    <t>Σ Bookings (consolidated)</t>
  </si>
  <si>
    <t>D. Backlog roll-forward = prior + bookings − recognized revenue</t>
  </si>
  <si>
    <t xml:space="preserve">  V1 closing backlog</t>
  </si>
  <si>
    <t xml:space="preserve">  V2 closing backlog</t>
  </si>
  <si>
    <t xml:space="preserve">  V3 closing backlog</t>
  </si>
  <si>
    <t xml:space="preserve">  V4 closing backlog</t>
  </si>
  <si>
    <t xml:space="preserve">  V5 closing backlog</t>
  </si>
  <si>
    <t xml:space="preserve">  V6 closing backlog</t>
  </si>
  <si>
    <t>Σ Closing backlog (consolidated)</t>
  </si>
  <si>
    <t>E. Consolidated KPIs</t>
  </si>
  <si>
    <t>Consolidated book-to-bill</t>
  </si>
  <si>
    <t>Backlog coverage (months of revenue)</t>
  </si>
  <si>
    <t>Backlog growth Y/Y</t>
  </si>
  <si>
    <t>F. Derived book-to-bill (check = Bookings / Recognized Revenue)</t>
  </si>
  <si>
    <t>V1 AESA</t>
  </si>
  <si>
    <t>V2 EW / SIGINT</t>
  </si>
  <si>
    <t>V3 CUAS</t>
  </si>
  <si>
    <t>V5 Autonomous</t>
  </si>
  <si>
    <t>Σ Derived B:B</t>
  </si>
  <si>
    <t>G. Qualified pipeline (derived = Bookings / Pwin)</t>
  </si>
  <si>
    <t xml:space="preserve">  Advance payment inflow (adv % × bookings)</t>
  </si>
  <si>
    <t xml:space="preserve">  Memo: revenue recognized (consolidated)</t>
  </si>
  <si>
    <t xml:space="preserve">  Contract Liability - beginning balance</t>
  </si>
  <si>
    <t xml:space="preserve">  Advance amortized into recognized revenue</t>
  </si>
  <si>
    <t>Contract Liability - ending balance (EoY)</t>
  </si>
  <si>
    <t xml:space="preserve">  Net change in contract liability (inflow − amortization)</t>
  </si>
  <si>
    <t>I. Bank guarantees (PBG + ABG) &amp; restricted cash collateral</t>
  </si>
  <si>
    <t xml:space="preserve">  Advance Bank Guarantee outstanding (= CL EoY)</t>
  </si>
  <si>
    <t xml:space="preserve">  Performance Bank Guarantee outstanding (PBG % × closing backlog)</t>
  </si>
  <si>
    <t>Total guarantees outstanding (ABG + PBG)</t>
  </si>
  <si>
    <t xml:space="preserve">  Restricted cash (collateral % x total guarantees) - schedule: Y1-Y2 100%, Y3 50%, Y4 30%, Y5+ 20%</t>
  </si>
  <si>
    <t>Bank guarantee fee (annual % × outstanding)</t>
  </si>
  <si>
    <t>Notes: Bookings are independent inputs. Closing backlog = opening + bookings − DELIVERIES (per-vertical % of opening backlog).</t>
  </si>
  <si>
    <t>B:B &gt; 1 = backlog growing (healthy growth phase); B:B near 1 = mature steady-state; B:B &lt; 1 = backlog shrinking.</t>
  </si>
  <si>
    <t>Pwin defaults are conservative new-age prime values - ESM higher (40%) due to existing customer relationships.</t>
  </si>
  <si>
    <t>Pipeline = Bookings / Pwin is the qualified opportunity value the BD org must keep loaded for the bookings plan.</t>
  </si>
  <si>
    <t>Edit yellow cells in sections A and B to model scenarios (e.g., aggressive growth: lift early B:B for V4 to 3.5).</t>
  </si>
  <si>
    <t>Advance payments (15%) collected at award generate a Contract Liability that amortizes as revenue is recognized.</t>
  </si>
  <si>
    <t>'Parks cash at the bank (100% collateral) to back performance bank guarantees &amp; advance bank guarantees</t>
  </si>
  <si>
    <t>K. Opening backlog (carried forward from prior-year closing)</t>
  </si>
  <si>
    <t xml:space="preserve">  V1 - AESA Radar</t>
  </si>
  <si>
    <t xml:space="preserve">  V2 - EW &amp; SIGINT</t>
  </si>
  <si>
    <t xml:space="preserve">  V3 - Counter-UAS</t>
  </si>
  <si>
    <t xml:space="preserve">  V4 - MALE UAS</t>
  </si>
  <si>
    <t xml:space="preserve">  V5 - Autonomous</t>
  </si>
  <si>
    <t xml:space="preserve">  V6 - Military AI</t>
  </si>
  <si>
    <t>L. Delivery schedule - per-vertical % of opening backlog recognized as revenue</t>
  </si>
  <si>
    <t xml:space="preserve">  V1 - AESA Radar delivery rate</t>
  </si>
  <si>
    <t xml:space="preserve">  V2 - EW &amp; SIGINT delivery rate</t>
  </si>
  <si>
    <t xml:space="preserve">  V3 - Counter-UAS delivery rate</t>
  </si>
  <si>
    <t xml:space="preserve">  V4 - MALE UAS delivery rate</t>
  </si>
  <si>
    <t xml:space="preserve">  V5 - Autonomous delivery rate</t>
  </si>
  <si>
    <t xml:space="preserve">  V6 - Military AI delivery rate</t>
  </si>
  <si>
    <t xml:space="preserve">  Deliveries: V1 - AESA Radar</t>
  </si>
  <si>
    <t xml:space="preserve">  Deliveries: V2 - EW &amp; SIGINT</t>
  </si>
  <si>
    <t xml:space="preserve">  Deliveries: V3 - Counter-UAS</t>
  </si>
  <si>
    <t xml:space="preserve">  Deliveries: V4 - MALE UAS</t>
  </si>
  <si>
    <t xml:space="preserve">  Deliveries: V5 - Autonomous</t>
  </si>
  <si>
    <t xml:space="preserve">  Deliveries: V6 - Military AI</t>
  </si>
  <si>
    <t xml:space="preserve">  Σ Deliveries (revenue recognized)</t>
  </si>
  <si>
    <t>N. Notes on restructured Backlog flow</t>
  </si>
  <si>
    <t xml:space="preserve">  Bookings are now INDEPENDENT static inputs (not derived from revenue).</t>
  </si>
  <si>
    <t xml:space="preserve">  Closing backlog = Opening + Bookings - Deliveries.</t>
  </si>
  <si>
    <t xml:space="preserve">  Delivery ratio bridges opening backlog to implied revenue.</t>
  </si>
  <si>
    <t xml:space="preserve">  Revenue is now FULLY DERIVED from Backlog deliveries (Section L drives Revenue sheet).</t>
  </si>
  <si>
    <t xml:space="preserve">  Edit yellow cells in Section L (D82:M87) to tune per-vertical recognition rates.</t>
  </si>
  <si>
    <t>Headcount Plan &amp; Fully-Loaded Personnel Cost</t>
  </si>
  <si>
    <t>Role</t>
  </si>
  <si>
    <t>Cost band (₹ L/yr)</t>
  </si>
  <si>
    <t>A. Headcount (# people)</t>
  </si>
  <si>
    <t xml:space="preserve">  RF / Microwave Engineers</t>
  </si>
  <si>
    <t xml:space="preserve">  DSP / FPGA Engineers</t>
  </si>
  <si>
    <t xml:space="preserve">  Antenna / Array Engineers</t>
  </si>
  <si>
    <t xml:space="preserve">  Embedded / Firmware Engineers</t>
  </si>
  <si>
    <t xml:space="preserve">  Systems Engineers (MIL-STD, ICD)</t>
  </si>
  <si>
    <t xml:space="preserve">  Mechanical / Thermal Engineers</t>
  </si>
  <si>
    <t xml:space="preserve">  Aerospace / Flight Systems Engineers</t>
  </si>
  <si>
    <t xml:space="preserve">  Naval / Subsea Systems Engineers</t>
  </si>
  <si>
    <t xml:space="preserve">  Autonomy / Controls Engineers</t>
  </si>
  <si>
    <t xml:space="preserve">  Mission Software Engineers</t>
  </si>
  <si>
    <t xml:space="preserve">  Cybersecurity Engineers</t>
  </si>
  <si>
    <t xml:space="preserve">  AI / ML Engineers (CV, fusion, autonomy)</t>
  </si>
  <si>
    <t xml:space="preserve">  MLOps / Data Engineers</t>
  </si>
  <si>
    <t xml:space="preserve">  Test &amp; Evaluation Engineers</t>
  </si>
  <si>
    <t xml:space="preserve">  Certification / Airworthiness</t>
  </si>
  <si>
    <t xml:space="preserve">  Manufacturing / Production Engineers</t>
  </si>
  <si>
    <t xml:space="preserve">  Production Technicians</t>
  </si>
  <si>
    <t xml:space="preserve">  Supply Chain / Procurement</t>
  </si>
  <si>
    <t xml:space="preserve">  Field Service / Customer Support</t>
  </si>
  <si>
    <t xml:space="preserve">  Capture / BD Leads (regional)</t>
  </si>
  <si>
    <t xml:space="preserve">  Solution Architects (presales)</t>
  </si>
  <si>
    <t xml:space="preserve">  Marketing / Comms</t>
  </si>
  <si>
    <t xml:space="preserve">  Executive / Leadership</t>
  </si>
  <si>
    <t xml:space="preserve">  Finance / Accounting</t>
  </si>
  <si>
    <t xml:space="preserve">  HR / People Ops</t>
  </si>
  <si>
    <t xml:space="preserve">  Legal / Contracts</t>
  </si>
  <si>
    <t xml:space="preserve">  Export Control / Compliance</t>
  </si>
  <si>
    <t xml:space="preserve">  IT / DevOps / Cloud</t>
  </si>
  <si>
    <t>B. Personnel cost by role (INR lakhs, escalated - R&amp;D separate from general)</t>
  </si>
  <si>
    <t xml:space="preserve">  RF / Microwave Engineers - cost</t>
  </si>
  <si>
    <t>R&amp;D</t>
  </si>
  <si>
    <t xml:space="preserve">  DSP / FPGA Engineers - cost</t>
  </si>
  <si>
    <t xml:space="preserve">  Antenna / Array Engineers - cost</t>
  </si>
  <si>
    <t xml:space="preserve">  Embedded / Firmware Engineers - cost</t>
  </si>
  <si>
    <t xml:space="preserve">  Systems Engineers (MIL-STD, ICD) - cost</t>
  </si>
  <si>
    <t xml:space="preserve">  Mechanical / Thermal Engineers - cost</t>
  </si>
  <si>
    <t xml:space="preserve">  Aerospace / Flight Systems Engineers - cost</t>
  </si>
  <si>
    <t xml:space="preserve">  Naval / Subsea Systems Engineers - cost</t>
  </si>
  <si>
    <t xml:space="preserve">  Autonomy / GNC / Controls Engineers - cost</t>
  </si>
  <si>
    <t xml:space="preserve">  Mission Software Engineers - cost</t>
  </si>
  <si>
    <t xml:space="preserve">  Cybersecurity Engineers - cost</t>
  </si>
  <si>
    <t xml:space="preserve">  AI / ML Engineers (CV, fusion, autonomy) - cost</t>
  </si>
  <si>
    <t xml:space="preserve">  MLOps / Data Engineers - cost</t>
  </si>
  <si>
    <t xml:space="preserve">  V&amp;V / Test &amp; Evaluation Engineers - cost</t>
  </si>
  <si>
    <t xml:space="preserve">  Certification / Airworthiness - cost</t>
  </si>
  <si>
    <t xml:space="preserve">  Manufacturing / Production Engineers - cost</t>
  </si>
  <si>
    <t>COGS</t>
  </si>
  <si>
    <t xml:space="preserve">  Production Technicians - cost</t>
  </si>
  <si>
    <t xml:space="preserve">  Supply Chain / Procurement - cost</t>
  </si>
  <si>
    <t xml:space="preserve">  Field Service / Customer Support - cost</t>
  </si>
  <si>
    <t xml:space="preserve">  Capture / BD Leads (regional) - cost</t>
  </si>
  <si>
    <t>S&amp;M</t>
  </si>
  <si>
    <t xml:space="preserve">  Solution Architects (presales) - cost</t>
  </si>
  <si>
    <t xml:space="preserve">  Marketing / Comms - cost</t>
  </si>
  <si>
    <t xml:space="preserve">  Executive / Leadership - cost</t>
  </si>
  <si>
    <t>G&amp;A</t>
  </si>
  <si>
    <t xml:space="preserve">  Finance / Accounting - cost</t>
  </si>
  <si>
    <t xml:space="preserve">  HR / People Ops - cost</t>
  </si>
  <si>
    <t xml:space="preserve">  Legal / Contracts - cost</t>
  </si>
  <si>
    <t xml:space="preserve">  Export Control / Compliance - cost</t>
  </si>
  <si>
    <t xml:space="preserve">  IT / DevOps / Cloud - cost</t>
  </si>
  <si>
    <t>C. Personnel cost by category</t>
  </si>
  <si>
    <t>R&amp;D personnel cost</t>
  </si>
  <si>
    <t>COGS personnel cost</t>
  </si>
  <si>
    <t>S&amp;M personnel cost</t>
  </si>
  <si>
    <t>G&amp;A personnel cost</t>
  </si>
  <si>
    <t>Note (M4 fix): Production headcount represents in-house core. Contract manufacturing at qualified partners absorbs ~30-40% of unit volumes (esp. V1 radar, V3 C-UAS) - embedded in COGS-BoM, not in this headcount table.</t>
  </si>
  <si>
    <t>Note (M6): Production ratios should be computed against HW-platform units only (V1 AESA, V3 C-UAS, V4 UAS, V5 AUV/USV, V2 ESM hardware). V6 (AI/SaaS) and V2 small EW kits are not capacity-constrained by mfg HC. With M4 scale-up and ~30-40% contract mfg, in-house complex-platform throughput is ~2-3 units/FTE/yr - within defense-industry norms.</t>
  </si>
  <si>
    <t>R&amp;D / NRE - Platform + Vertical-Specific (Post-Reuse) + R&amp;D Personnel</t>
  </si>
  <si>
    <t>Source</t>
  </si>
  <si>
    <t>Platform NRE (shared)</t>
  </si>
  <si>
    <t>Platform!Total</t>
  </si>
  <si>
    <t>Σ Leveraged vertical NRE (post-reuse)</t>
  </si>
  <si>
    <t>ReuseMatrix!Σ Leveraged</t>
  </si>
  <si>
    <t>R&amp;D personnel cost (from Headcount)</t>
  </si>
  <si>
    <t>Headcount!R&amp;D cost</t>
  </si>
  <si>
    <t>Memo: Σ Gross NRE (standalone, no platform reuse)</t>
  </si>
  <si>
    <t>ReuseMatrix!Σ Gross</t>
  </si>
  <si>
    <t>Memo (counterfactual): NRE avoided by platform reuse - vs. standalone build</t>
  </si>
  <si>
    <t>Total R&amp;D / NRE expense (P&amp;L line)</t>
  </si>
  <si>
    <t>TOTAL R&amp;D / NRE EXPENSE (P&amp;L) - excludes capitalized portion</t>
  </si>
  <si>
    <t>P&amp;L line; capitalized portion flows to BS intangibles (row 16) and amortises through D&amp;A on P&amp;L row 19 (Capex!D39 + R&amp;D_NRE!D18). No double-count.</t>
  </si>
  <si>
    <t>C4: Capitalize Platform NRE under Ind AS 38</t>
  </si>
  <si>
    <t>Weighted capitalisation rate (% Platform NRE)</t>
  </si>
  <si>
    <t>Annual rate from R&amp;D_Buckets</t>
  </si>
  <si>
    <t>Amortization life (years)</t>
  </si>
  <si>
    <t>Straight-line, 6 years per tranche, starting same year capitalization is recognized.</t>
  </si>
  <si>
    <t>Development capitalised (intangibles addition)</t>
  </si>
  <si>
    <t>Platform R&amp;D expensed (research + non-eligible development)</t>
  </si>
  <si>
    <t>Amortisation of capitalised R&amp;D (this year, in D&amp;A)</t>
  </si>
  <si>
    <t>NRE contingency (30% uplift for realistic AESA/MALE/AUV costs)</t>
  </si>
  <si>
    <t>Adjustment</t>
  </si>
  <si>
    <t>Capital Expenditure &amp; Depreciation (Straight-line)</t>
  </si>
  <si>
    <t>Item</t>
  </si>
  <si>
    <t>Life (yr)</t>
  </si>
  <si>
    <t>A. Capex - per-item spend (₹ L)</t>
  </si>
  <si>
    <t xml:space="preserve">  Vector Network Analyzer (VNA) suite</t>
  </si>
  <si>
    <t xml:space="preserve">  Anechoic Chamber + Near-field Range (own)</t>
  </si>
  <si>
    <t xml:space="preserve">  Cleanroom (SMT / GaN packaging)</t>
  </si>
  <si>
    <t xml:space="preserve">  SMT / Assembly Production Line</t>
  </si>
  <si>
    <t xml:space="preserve">  HALT / HASS Environmental Test Chambers</t>
  </si>
  <si>
    <t xml:space="preserve">  EMI/EMC Test Cell (MIL-STD-461, own)</t>
  </si>
  <si>
    <t xml:space="preserve">  RF/EW Lab Bench (signal gens, spectrum)</t>
  </si>
  <si>
    <t xml:space="preserve">  FPGA / Compute Dev Stations</t>
  </si>
  <si>
    <t xml:space="preserve">  GPU Cluster (AI training)</t>
  </si>
  <si>
    <t xml:space="preserve">  UAS Flight Test Range / Hangar</t>
  </si>
  <si>
    <t xml:space="preserve">  Maritime Test Tank / Subsea Range</t>
  </si>
  <si>
    <t xml:space="preserve">  Office / Facilities build-out</t>
  </si>
  <si>
    <t xml:space="preserve">  IT infrastructure / classified network</t>
  </si>
  <si>
    <t xml:space="preserve">  Vehicles / mobile demo platforms</t>
  </si>
  <si>
    <t xml:space="preserve">  </t>
  </si>
  <si>
    <t>Total Capex (gross)</t>
  </si>
  <si>
    <t>B. Depreciation (straight-line) per item</t>
  </si>
  <si>
    <t xml:space="preserve">  Vector Network Analyzer (VNA) suite - depreciation</t>
  </si>
  <si>
    <t xml:space="preserve">  Anechoic Chamber + Near-field Range (own) - depreciation</t>
  </si>
  <si>
    <t xml:space="preserve">  Cleanroom (SMT / GaN packaging) - depreciation</t>
  </si>
  <si>
    <t xml:space="preserve">  SMT / Assembly Production Line - depreciation</t>
  </si>
  <si>
    <t xml:space="preserve">  HALT / HASS Environmental Test Chambers - depreciation</t>
  </si>
  <si>
    <t xml:space="preserve">  EMI/EMC Test Cell (MIL-STD-461, own) - depreciation</t>
  </si>
  <si>
    <t xml:space="preserve">  RF/EW Lab Bench (signal gens, spectrum) - depreciation</t>
  </si>
  <si>
    <t xml:space="preserve">  FPGA / Compute Dev Stations - depreciation</t>
  </si>
  <si>
    <t xml:space="preserve">  GPU Cluster (AI training) - depreciation</t>
  </si>
  <si>
    <t xml:space="preserve">  UAS Flight Test Range / Hangar - depreciation</t>
  </si>
  <si>
    <t xml:space="preserve">  Maritime Test Tank / Subsea Range - depreciation</t>
  </si>
  <si>
    <t xml:space="preserve">  Office / Facilities build-out - depreciation</t>
  </si>
  <si>
    <t xml:space="preserve">  IT infrastructure / classified network - depreciation</t>
  </si>
  <si>
    <t xml:space="preserve">  Vehicles / mobile demo platforms - depreciation</t>
  </si>
  <si>
    <t xml:space="preserve">  Partner-lab usage credits (capitalized) - depreciation</t>
  </si>
  <si>
    <t>Total D&amp;A</t>
  </si>
  <si>
    <t>Operating Expenses - Non-Personnel</t>
  </si>
  <si>
    <t>A. Opex items - per-line spend (₹ L)</t>
  </si>
  <si>
    <t xml:space="preserve">  Facilities / rent / utilities</t>
  </si>
  <si>
    <t xml:space="preserve">  Cloud / compute / data</t>
  </si>
  <si>
    <t xml:space="preserve">  Software licenses (CAD/EDA/HFSS/MATLAB)</t>
  </si>
  <si>
    <t xml:space="preserve">  Travel &amp; customer demos</t>
  </si>
  <si>
    <t xml:space="preserve">  Defense exhibitions (DSEI, AUSA, etc.)</t>
  </si>
  <si>
    <t xml:space="preserve">  Certifications (DO-178, DO-254, AS9100)</t>
  </si>
  <si>
    <t xml:space="preserve">  ITAR / Export Control overhead</t>
  </si>
  <si>
    <t xml:space="preserve">  Cybersecurity / CMMC L3 ops</t>
  </si>
  <si>
    <t xml:space="preserve">  Quality / CMMI / AS9100 ops</t>
  </si>
  <si>
    <t xml:space="preserve">  Insurance (product liability, E&amp;O)</t>
  </si>
  <si>
    <t xml:space="preserve">  Legal / contracts / IP</t>
  </si>
  <si>
    <t xml:space="preserve">  Bid &amp; Proposal direct costs</t>
  </si>
  <si>
    <t xml:space="preserve">  Recruiting / training</t>
  </si>
  <si>
    <t xml:space="preserve">  Range / flight test ops (UAS, AUV)</t>
  </si>
  <si>
    <t xml:space="preserve">  Miscellaneous / contingency</t>
  </si>
  <si>
    <t xml:space="preserve">  Bank guarantee fees (PBG + ABG, computed) - ₹ Cr</t>
  </si>
  <si>
    <t>Total Opex (non-personnel)</t>
  </si>
  <si>
    <t xml:space="preserve">  Partner-lab usage credits (prepaid opex, Ind AS - reclassified from Capex m4)</t>
  </si>
  <si>
    <t>10-Year Consolidated Income Statement</t>
  </si>
  <si>
    <t>Line item</t>
  </si>
  <si>
    <t xml:space="preserve">  COGS - BoM</t>
  </si>
  <si>
    <t xml:space="preserve">  COGS - personnel + service</t>
  </si>
  <si>
    <t>Total COGS</t>
  </si>
  <si>
    <t xml:space="preserve">  Gross margin %</t>
  </si>
  <si>
    <t>S&amp;M expense (personnel + opex pct)</t>
  </si>
  <si>
    <t>G&amp;A expense (personnel + opex pct)</t>
  </si>
  <si>
    <t>Other Opex (facilities, compliance, exhibitions, etc.)</t>
  </si>
  <si>
    <t xml:space="preserve">  EBITDA margin %</t>
  </si>
  <si>
    <t xml:space="preserve">  Depreciation &amp; Amortization (PP&amp;E + capitalized R&amp;D)</t>
  </si>
  <si>
    <t>EBIT</t>
  </si>
  <si>
    <t xml:space="preserve">  Interest expense</t>
  </si>
  <si>
    <t>Pretax income</t>
  </si>
  <si>
    <t xml:space="preserve">  Tax expense (if profitable)</t>
  </si>
  <si>
    <t>NET INCOME</t>
  </si>
  <si>
    <t>- C5: Tax detail (NOL + MAT + R&amp;D tax bridge) -</t>
  </si>
  <si>
    <t>Book PBT (echo)</t>
  </si>
  <si>
    <t>Opening NOL pool</t>
  </si>
  <si>
    <t>NOL added this year (=MAX(0,-tax-basis PBT after R&amp;D bridge))</t>
  </si>
  <si>
    <t>NOL utilized this year (against tax-basis PBT)</t>
  </si>
  <si>
    <t>Closing NOL pool (8yr expiry not modeled; immaterial: all losses utilized by Y3)</t>
  </si>
  <si>
    <t>Taxable income (after NOL and R&amp;D tax bridge)</t>
  </si>
  <si>
    <t>Regular tax (25% × taxable income)</t>
  </si>
  <si>
    <t>MAT (15% × MAX(0, PBT))</t>
  </si>
  <si>
    <t>Opening MAT credit asset (on BS per Ind AS 12)</t>
  </si>
  <si>
    <t>MAT credit utilized (memo, not in P&amp;L)</t>
  </si>
  <si>
    <t>MAT credit earned</t>
  </si>
  <si>
    <t>Closing MAT credit asset (on-BS - DTA mechanics simplified per Ind AS 12)</t>
  </si>
  <si>
    <t>- Tax R&amp;D bridge memo -</t>
  </si>
  <si>
    <t>10-Year Cash Flow Statement</t>
  </si>
  <si>
    <t>A. Cash from Operations (CFO)</t>
  </si>
  <si>
    <t xml:space="preserve">  + D&amp;A</t>
  </si>
  <si>
    <t xml:space="preserve">  Memo: Accounts Receivable (DSO × Rev / 365)</t>
  </si>
  <si>
    <t xml:space="preserve">  Memo: Inventory (InvDays × COGS / 365)</t>
  </si>
  <si>
    <t xml:space="preserve">  Memo: Accounts Payable (DPO × COGS / 365)</t>
  </si>
  <si>
    <t xml:space="preserve">  Net Working Capital (AR + Inv − AP)</t>
  </si>
  <si>
    <t xml:space="preserve">  − ΔWorking capital (Day-0 NWC = 0; full Y1 NWC charges to Y1 ΔWC - see note)</t>
  </si>
  <si>
    <t xml:space="preserve">  + Δ Customer advances (contract liability)</t>
  </si>
  <si>
    <t>CFO (Net Income + D&amp;A − ΔWC + ΔCust. Advances)</t>
  </si>
  <si>
    <t xml:space="preserve">  − Δ MAT credit asset (DTA non-cash adjustment)</t>
  </si>
  <si>
    <t>B. Cash from Investing (CFI)</t>
  </si>
  <si>
    <t>− Capex (gross)</t>
  </si>
  <si>
    <t>− Δ Restricted cash (BG collateral pledged)</t>
  </si>
  <si>
    <t>CFI (− Capex − ΔRestricted − Capitalized R&amp;D)</t>
  </si>
  <si>
    <t>C. Cash from Financing (CFF)</t>
  </si>
  <si>
    <t>Net debt (draw − repay)</t>
  </si>
  <si>
    <t>CFF</t>
  </si>
  <si>
    <t>D. Free Cash Flow &amp; Cash Position</t>
  </si>
  <si>
    <t>Free Cash Flow (CFO + CFI)</t>
  </si>
  <si>
    <t xml:space="preserve">  Cumulative FCF</t>
  </si>
  <si>
    <t>Net change in cash (FCF + CFF)</t>
  </si>
  <si>
    <t>Cash balance (EoY)</t>
  </si>
  <si>
    <t xml:space="preserve">  Cumulative invested capital</t>
  </si>
  <si>
    <t>Memo: Capitalized R&amp;D (intangibles addition, within CFI)</t>
  </si>
  <si>
    <t>Min cash reserve target (Assumptions!C25)</t>
  </si>
  <si>
    <t>Cash buffer above min (EoY cash − target)</t>
  </si>
  <si>
    <t>ALERT: Cash below min reserve?</t>
  </si>
  <si>
    <t>Balance Sheet - Integrated (links to P&amp;L, CashFlow, Funding)</t>
  </si>
  <si>
    <t>Working capital line items are driven by the day-count schedule in Assumptions (DSO, DPO, Inventory days). PP&amp;E is gross Capex less accumulated depreciation. Cash is the plug from CashFlow. The Check row verifies A = L + E.</t>
  </si>
  <si>
    <t>A. Assets</t>
  </si>
  <si>
    <t>Cash &amp; cash equivalents</t>
  </si>
  <si>
    <t>Accounts Receivable (DSO-based)</t>
  </si>
  <si>
    <t>Inventory (Inv-days × COGS)</t>
  </si>
  <si>
    <t>Current assets (Cash + Restricted + AR + Inv)</t>
  </si>
  <si>
    <t>MAT credit asset (DTA, Ind AS 12)</t>
  </si>
  <si>
    <t>Gross PP&amp;E (cumulative Capex)</t>
  </si>
  <si>
    <t>Accumulated depreciation</t>
  </si>
  <si>
    <t>Net PP&amp;E (Gross − Accum. Depreciation)</t>
  </si>
  <si>
    <t>Net intangibles (capitalized R&amp;D − accum amort)</t>
  </si>
  <si>
    <t>TOTAL ASSETS (incl. net intangibles)</t>
  </si>
  <si>
    <t>B. Liabilities</t>
  </si>
  <si>
    <t>Accounts Payable (DPO-based)</t>
  </si>
  <si>
    <t>Contract liabilities / customer advances</t>
  </si>
  <si>
    <t>Venture debt outstanding (EoY)</t>
  </si>
  <si>
    <t>TOTAL LIABILITIES</t>
  </si>
  <si>
    <t>C. Shareholders' Equity</t>
  </si>
  <si>
    <t>Paid-in capital (cumulative equity rounds)</t>
  </si>
  <si>
    <t>Retained earnings (cumulative Net Income)</t>
  </si>
  <si>
    <t>TOTAL EQUITY</t>
  </si>
  <si>
    <t>TOTAL LIABILITIES + EQUITY</t>
  </si>
  <si>
    <t>D. Check &amp; key balance-sheet ratios</t>
  </si>
  <si>
    <t>Check (A = L + E)</t>
  </si>
  <si>
    <t>Current ratio (CA / Current Liab = AP + Customer Advances)</t>
  </si>
  <si>
    <t>Debt / Equity</t>
  </si>
  <si>
    <t>ROIC = NOPAT / (Debt + Equity)</t>
  </si>
  <si>
    <t>Cash conversion cycle (CCC) [DSO+InvDays-DPO; constant 195 by assumption (DSO+InvDays-DPO) - driven by Assumptions, will vary only if you replace WC schedule with actuals]</t>
  </si>
  <si>
    <t>Intangibles - capitalized R&amp;D (gross, cumulative)</t>
  </si>
  <si>
    <t xml:space="preserve">  Less: accumulated amortization</t>
  </si>
  <si>
    <t>Net intangibles</t>
  </si>
  <si>
    <t>MAT credit asset</t>
  </si>
  <si>
    <t>Funding Plan - Equity Rounds + Venture Debt</t>
  </si>
  <si>
    <t>Round / Item</t>
  </si>
  <si>
    <t>Detail</t>
  </si>
  <si>
    <t>A. Equity rounds</t>
  </si>
  <si>
    <t>Y1 Rs.450 Cr - sized for prototyping, qualification trials, ESM iDEX MoQ delivery, initial production line stand-up. Designs owned, IP de-risked.</t>
  </si>
  <si>
    <t>Seed (Y1) - Rs.450 Cr; funds platform NRE (M1-M5) + WC buffer for MoD DSO.</t>
  </si>
  <si>
    <t>Y2 Rs.400 Cr - production scale-up across V2/V3/V6, AESA + UAS prototype build, EMI/anechoic facility, BG margin only 10% (existing facility).</t>
  </si>
  <si>
    <t>Series A (Y2) - Rs.400 Cr; absorbs 100% Y1-Y2 BG collateral and scales V2/V3/V6 production.</t>
  </si>
  <si>
    <t>Y3 Rs.250 Cr - production ramp for V1/V4/V5 first deliveries, Make-II contract working capital, capex tranche for test ranges.</t>
  </si>
  <si>
    <t>Series B (Y3) - Rs.250 Cr; trough-coverage to FCF-positive in Y4 alongside Rs.100 Cr PSU TL.</t>
  </si>
  <si>
    <t>iDEX (₹200 Cr MoQ already won, prototype phase), ADITI/SPRINT/TDF top-ups for adjacent verticals.</t>
  </si>
  <si>
    <t>Excluded - not relied upon in funding plan.</t>
  </si>
  <si>
    <t>B. Venture debt</t>
  </si>
  <si>
    <t>Interest rate (annual)</t>
  </si>
  <si>
    <t>Debt drawn (Y1 VC+TL, Y2 PSU bank TL against land, Y3 WC line expansion)</t>
  </si>
  <si>
    <t>Y1 Rs.20 (VC bridge); Y2 Rs.100 PSU bank TL/land collateral; Y3 Rs.80 WC line expansion.</t>
  </si>
  <si>
    <t>Debt repaid (outflow)</t>
  </si>
  <si>
    <t>Debt balance (BoY)</t>
  </si>
  <si>
    <t>Interest expense (avg-balance × rate)</t>
  </si>
  <si>
    <t>C. CFF - total cash from financing</t>
  </si>
  <si>
    <t>Equity inflow</t>
  </si>
  <si>
    <t>Total CFF</t>
  </si>
  <si>
    <t>D. Min-cash compliance check</t>
  </si>
  <si>
    <t>Min cash reserve target (₹ Cr)</t>
  </si>
  <si>
    <t>Projected end-of-year cash (CashFlow)</t>
  </si>
  <si>
    <t>Funding gap (shortfall vs target)</t>
  </si>
  <si>
    <t>Note: gap &gt; 0 means planned rounds (rows 6-8) need to be increased.</t>
  </si>
  <si>
    <t>Existing facilities (pre-Plan)</t>
  </si>
  <si>
    <t>Rs.150 Cr land/factory collateral; Rs.12.5 Cr WC limit (utilised); Rs.18.5 Cr ABG sanctioned (covers Y1 ABG of Rs.18.76 Cr); Rs.9 Cr TL approved (drawn in Y1, included in debt row).</t>
  </si>
  <si>
    <t>Break-Even Analysis - Per-Vertical &amp; Company-Wide</t>
  </si>
  <si>
    <t>Snapshot year (1..10)</t>
  </si>
  <si>
    <t>A. Per-vertical contribution &amp; break-even (snapshot year)</t>
  </si>
  <si>
    <t>Revenue (snap)</t>
  </si>
  <si>
    <t>BoM COGS (snap)</t>
  </si>
  <si>
    <t>Gross profit (snap)</t>
  </si>
  <si>
    <t>GM %</t>
  </si>
  <si>
    <t>Units (snap)</t>
  </si>
  <si>
    <t>Total (all verticals)</t>
  </si>
  <si>
    <t>B. Fixed cost stack at snapshot year</t>
  </si>
  <si>
    <t>R&amp;D / NRE</t>
  </si>
  <si>
    <t>S&amp;M (P&amp;L)</t>
  </si>
  <si>
    <t>G&amp;A (P&amp;L)</t>
  </si>
  <si>
    <t>Other Opex (P&amp;L)</t>
  </si>
  <si>
    <t>D&amp;A</t>
  </si>
  <si>
    <t>COGS personnel (P&amp;L)</t>
  </si>
  <si>
    <t>Total fixed cost</t>
  </si>
  <si>
    <t>C. Break-even revenue (annual)</t>
  </si>
  <si>
    <t>Company weighted GM %</t>
  </si>
  <si>
    <t>Break-even annual revenue = Fixed / GM%</t>
  </si>
  <si>
    <t>D. Key financial indicators (full 10-yr)</t>
  </si>
  <si>
    <t>First year EBITDA-positive</t>
  </si>
  <si>
    <t>First year FCF-positive</t>
  </si>
  <si>
    <t>Peak cumulative cash deficit (worst)</t>
  </si>
  <si>
    <t>Counterfactual: Cumulative NRE avoided (10yr) - vs. standalone build; NOT realized cash savings</t>
  </si>
  <si>
    <t>Total equity raised (10 yr)</t>
  </si>
  <si>
    <t>Peak debt balance</t>
  </si>
  <si>
    <t>NPV of FCF (discount rate from Assumptions)</t>
  </si>
  <si>
    <t>Project IRR (on FCF only; EXCLUDES equity/debt flows - not investor IRR)</t>
  </si>
  <si>
    <t>Wave 1 (Y1-Y2): Deliver Rs.210 Cr iDEX ESM MoQ; ship V6 Military AI modules; V1 AESA + V3 C-UAS + V4 MALE prototype trials.  Wave 2 (Y3): V1 AESA first delivery + V3 C-UAS first orders + V4 MALE end-Y3 first delivery + V5 AUV first delivery.  Wave 3 (Y4-Y6): Production ramp across all six verticals + export/FMS variants.  Wave 4 (Y7+): Scale, replenishment cycles, allied bids.</t>
  </si>
  <si>
    <t>Product-focused, software-defined, asset-light. Cross-functional product squads instead of program directorates. Short cycles (12-24 month MVP to field) replace multi-year legacy programs. Concurrent development across verticals while ESM (already partly developed at Day 1) is in production and sales - funding subsequent product lines from operating cash, not just equity. Capex deferred via partner anechoic / EMI / range facilities until volumes justify owned infra.</t>
  </si>
  <si>
    <t>Legacy primes carry the full NRE burden and the full bureaucracy overhead on every product, on 5-7 year cycles. This firm amortizes RF, DSP, SysEng, SW and AI investment across 6 product lines on 1-3 year cycles, with a productized ESM business funding adjacent products - driving lower NRE per product, faster qualification, and compounding gross margin from Year 1.</t>
  </si>
  <si>
    <t>Gross margin expands from ~25% (Y1, low BoM scale) toward 70-80% (Y10) as: (a) BoM learning, (b) platform reuse, (c) growing software/AI revenue mix. EBITDA crosses positive earlier than a legacy prime would achieve thanks to concurrent ESM revenue; FCF turns positive shortly after.</t>
  </si>
  <si>
    <t>Win 1 marquee program per vertical in Y2-Y5; convert into reference accounts; build allied/FMS pipeline; monetize the Mil-AI / autonomy stack as a software product attached to all hardware lines.</t>
  </si>
  <si>
    <t xml:space="preserve">  AI-B - OIDSS (per yr/license)</t>
  </si>
  <si>
    <t>Bookings = Backlog-driven contract awards. Backlog rolls forward (prior + bookings − recognized). Pipeline = Bookings / Pwin. Defense bookings typically lead revenue by 12-18 months for HW, 6-12 months for SW.</t>
  </si>
  <si>
    <t>Defense HW typically has 12-18 month lag from award (booking) to delivery (recognized revenue); SW/SaaS 3-12 months.</t>
  </si>
  <si>
    <t>1) Platform Engineering - five reusable tech modules (RF · DSP · SysEng · SW · AI).  
2) Multi-Domain Coverage - Air (UAS, EW pods, AESA), Land (C-UAS, SIGINT, Mil AI), Sea (AUV, USV).  
3) Concurrent Dev + Production - ESM cash funds adjacent product development.  
4) IP + Sovereign Capability - cleared workforce + retained data rights + IP-led licensing.  
5) Allied + FMS Export - DCS/FMS-eligible product variants from Day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</si>
</sst>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₹ &quot;#,##0.0&quot; Cr&quot;;[Red]&quot;(₹ &quot;#,##0.0&quot; Cr)&quot;;\-"/>
    <numFmt numFmtId="165" formatCode="0.0%;[Red]\(0.0%\);\-"/>
    <numFmt numFmtId="166" formatCode="#,##0;[Red]\(#,##0\);\-"/>
    <numFmt numFmtId="167" formatCode="0.0%"/>
    <numFmt numFmtId="168" formatCode="#,##0.0"/>
    <numFmt numFmtId="169" formatCode="0%;[Red]\(0%\);\-"/>
    <numFmt numFmtId="170" formatCode="0.0"/>
    <numFmt numFmtId="171" formatCode="&quot;₹ &quot;#,##0.00&quot; L&quot;;[Red]&quot;(₹ &quot;#,##0.00&quot; L)&quot;;\-"/>
    <numFmt numFmtId="172" formatCode="0&quot; days&quot;"/>
  </numFmts>
  <fonts count="23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2"/>
      <color rgb="FF0B2545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b/>
      <sz val="16"/>
      <color rgb="FF0B2545"/>
      <name val="Calibri"/>
      <charset val="1"/>
    </font>
    <font>
      <b/>
      <sz val="10"/>
      <color rgb="FF0B2545"/>
      <name val="Calibri"/>
      <charset val="1"/>
    </font>
    <font>
      <b/>
      <sz val="14"/>
      <color rgb="FF0B2545"/>
      <name val="Calibri"/>
      <charset val="1"/>
    </font>
    <font>
      <sz val="10"/>
      <color rgb="FF0B2545"/>
      <name val="Calibri"/>
      <charset val="1"/>
    </font>
    <font>
      <b/>
      <sz val="11"/>
      <color rgb="FF0B2545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0"/>
      <color rgb="FF000000"/>
      <name val="Calibri"/>
      <charset val="1"/>
    </font>
    <font>
      <i/>
      <sz val="10"/>
      <name val="Calibri"/>
      <charset val="1"/>
    </font>
    <font>
      <b/>
      <sz val="14"/>
      <color rgb="FFFFFFFF"/>
      <name val="Cambria"/>
      <charset val="1"/>
    </font>
    <font>
      <b/>
      <sz val="12"/>
      <color rgb="FFFFFFFF"/>
      <name val="Cambria"/>
      <charset val="1"/>
    </font>
    <font>
      <b/>
      <i/>
      <sz val="10"/>
      <name val="Calibri"/>
      <charset val="1"/>
    </font>
    <font>
      <b/>
      <sz val="10"/>
      <color rgb="FFFFFFFF"/>
      <name val="Cambria"/>
      <charset val="1"/>
    </font>
    <font>
      <b/>
      <sz val="11"/>
      <color rgb="FF9C0006"/>
      <name val="Cambria"/>
      <charset val="1"/>
    </font>
    <font>
      <sz val="10"/>
      <name val="Arial"/>
      <family val="2"/>
    </font>
    <font>
      <b/>
      <sz val="10"/>
      <color rgb="FF0B2545"/>
      <name val="Cambria"/>
      <charset val="1"/>
    </font>
  </fonts>
  <fills count="28">
    <fill>
      <patternFill patternType="none"/>
    </fill>
    <fill>
      <patternFill patternType="gray125"/>
    </fill>
    <fill>
      <patternFill patternType="solid">
        <fgColor rgb="FF0B2545"/>
        <bgColor rgb="FF13315C"/>
      </patternFill>
    </fill>
    <fill>
      <patternFill patternType="solid">
        <fgColor rgb="FF92E285"/>
        <bgColor rgb="FFA9D08E"/>
      </patternFill>
    </fill>
    <fill>
      <patternFill patternType="solid">
        <fgColor rgb="FFEEF2F7"/>
        <bgColor rgb="FFE8F0FE"/>
      </patternFill>
    </fill>
    <fill>
      <patternFill patternType="solid">
        <fgColor rgb="FF13315C"/>
        <bgColor rgb="FF0B2545"/>
      </patternFill>
    </fill>
    <fill>
      <patternFill patternType="solid">
        <fgColor rgb="FFDDEEF7"/>
        <bgColor rgb="FFD9EAF7"/>
      </patternFill>
    </fill>
    <fill>
      <patternFill patternType="solid">
        <fgColor rgb="FFE8F5E0"/>
        <bgColor rgb="FFE2F0D9"/>
      </patternFill>
    </fill>
    <fill>
      <patternFill patternType="solid">
        <fgColor rgb="FFDDE9F7"/>
        <bgColor rgb="FFD9EAF7"/>
      </patternFill>
    </fill>
    <fill>
      <patternFill patternType="solid">
        <fgColor rgb="FFF7E0E8"/>
        <bgColor rgb="FFE7E6E6"/>
      </patternFill>
    </fill>
    <fill>
      <patternFill patternType="solid">
        <fgColor rgb="FFC9A227"/>
        <bgColor rgb="FFF79646"/>
      </patternFill>
    </fill>
    <fill>
      <patternFill patternType="solid">
        <fgColor rgb="FFFFF5D9"/>
        <bgColor rgb="FFFFF2CC"/>
      </patternFill>
    </fill>
    <fill>
      <patternFill patternType="solid">
        <fgColor rgb="FFE8F0FE"/>
        <bgColor rgb="FFEEF2F7"/>
      </patternFill>
    </fill>
    <fill>
      <patternFill patternType="solid">
        <fgColor rgb="FFD9E8F5"/>
        <bgColor rgb="FFD9EAF7"/>
      </patternFill>
    </fill>
    <fill>
      <patternFill patternType="solid">
        <fgColor rgb="FF1F4E78"/>
        <bgColor rgb="FF2F3E4F"/>
      </patternFill>
    </fill>
    <fill>
      <patternFill patternType="solid">
        <fgColor rgb="FFD9EAF7"/>
        <bgColor rgb="FFD9E8F5"/>
      </patternFill>
    </fill>
    <fill>
      <patternFill patternType="solid">
        <fgColor rgb="FFFFFFFF"/>
        <bgColor rgb="FFEEF2F7"/>
      </patternFill>
    </fill>
    <fill>
      <patternFill patternType="solid">
        <fgColor rgb="FFFFD966"/>
        <bgColor rgb="FFFFE699"/>
      </patternFill>
    </fill>
    <fill>
      <patternFill patternType="solid">
        <fgColor rgb="FFA9D08E"/>
        <bgColor rgb="FF92E285"/>
      </patternFill>
    </fill>
    <fill>
      <patternFill patternType="solid">
        <fgColor rgb="FF8FAADC"/>
        <bgColor rgb="FFA6A6A6"/>
      </patternFill>
    </fill>
    <fill>
      <patternFill patternType="solid">
        <fgColor rgb="FFF4B183"/>
        <bgColor rgb="FFF79646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FF5D9"/>
      </patternFill>
    </fill>
    <fill>
      <patternFill patternType="solid">
        <fgColor rgb="FF5B9BD5"/>
        <bgColor rgb="FF4BACC6"/>
      </patternFill>
    </fill>
    <fill>
      <patternFill patternType="solid">
        <fgColor rgb="FFE2F0D9"/>
        <bgColor rgb="FFE8F5E0"/>
      </patternFill>
    </fill>
    <fill>
      <patternFill patternType="solid">
        <fgColor rgb="FFE7E6E6"/>
        <bgColor rgb="FFDCE6F1"/>
      </patternFill>
    </fill>
    <fill>
      <patternFill patternType="solid">
        <fgColor rgb="FFDCE6F1"/>
        <bgColor rgb="FFD9E8F5"/>
      </patternFill>
    </fill>
    <fill>
      <patternFill patternType="solid">
        <fgColor rgb="FFFFC7CE"/>
        <bgColor rgb="FFF7E0E8"/>
      </patternFill>
    </fill>
  </fills>
  <borders count="6">
    <border>
      <left/>
      <right/>
      <top/>
      <bottom/>
      <diagonal/>
    </border>
    <border>
      <left style="medium">
        <color rgb="FF2F3E4F"/>
      </left>
      <right/>
      <top style="medium">
        <color rgb="FF2F3E4F"/>
      </top>
      <bottom style="medium">
        <color rgb="FF2F3E4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7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64" fontId="8" fillId="12" borderId="0" xfId="0" applyNumberFormat="1" applyFont="1" applyFill="1" applyAlignment="1">
      <alignment horizontal="right" vertical="center"/>
    </xf>
    <xf numFmtId="165" fontId="10" fillId="12" borderId="0" xfId="0" applyNumberFormat="1" applyFont="1" applyFill="1" applyAlignment="1">
      <alignment horizontal="right" vertical="center"/>
    </xf>
    <xf numFmtId="164" fontId="10" fillId="12" borderId="0" xfId="0" applyNumberFormat="1" applyFont="1" applyFill="1" applyAlignment="1">
      <alignment horizontal="right" vertical="center"/>
    </xf>
    <xf numFmtId="166" fontId="10" fillId="12" borderId="0" xfId="0" applyNumberFormat="1" applyFont="1" applyFill="1" applyAlignment="1">
      <alignment horizontal="right" vertical="center"/>
    </xf>
    <xf numFmtId="2" fontId="10" fillId="12" borderId="0" xfId="0" applyNumberFormat="1" applyFont="1" applyFill="1" applyAlignment="1">
      <alignment horizontal="right" vertical="center"/>
    </xf>
    <xf numFmtId="164" fontId="11" fillId="13" borderId="0" xfId="0" applyNumberFormat="1" applyFont="1" applyFill="1" applyAlignment="1">
      <alignment horizontal="right"/>
    </xf>
    <xf numFmtId="165" fontId="11" fillId="13" borderId="0" xfId="0" applyNumberFormat="1" applyFont="1" applyFill="1" applyAlignment="1">
      <alignment horizontal="right"/>
    </xf>
    <xf numFmtId="1" fontId="11" fillId="13" borderId="0" xfId="0" applyNumberFormat="1" applyFont="1" applyFill="1" applyAlignment="1">
      <alignment horizontal="right"/>
    </xf>
    <xf numFmtId="0" fontId="0" fillId="15" borderId="2" xfId="0" applyFill="1" applyBorder="1"/>
    <xf numFmtId="167" fontId="0" fillId="15" borderId="2" xfId="0" applyNumberFormat="1" applyFill="1" applyBorder="1"/>
    <xf numFmtId="0" fontId="0" fillId="16" borderId="2" xfId="0" applyFill="1" applyBorder="1"/>
    <xf numFmtId="168" fontId="0" fillId="16" borderId="2" xfId="0" applyNumberFormat="1" applyFill="1" applyBorder="1"/>
    <xf numFmtId="168" fontId="0" fillId="15" borderId="2" xfId="0" applyNumberFormat="1" applyFill="1" applyBorder="1"/>
    <xf numFmtId="0" fontId="13" fillId="0" borderId="0" xfId="0" applyFont="1"/>
    <xf numFmtId="164" fontId="0" fillId="0" borderId="0" xfId="0" applyNumberFormat="1"/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13" borderId="0" xfId="0" applyFont="1" applyFill="1" applyAlignment="1">
      <alignment horizontal="center" vertical="center" wrapText="1"/>
    </xf>
    <xf numFmtId="1" fontId="8" fillId="13" borderId="3" xfId="0" applyNumberFormat="1" applyFont="1" applyFill="1" applyBorder="1" applyAlignment="1">
      <alignment horizontal="center" vertical="center"/>
    </xf>
    <xf numFmtId="0" fontId="11" fillId="17" borderId="4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19" borderId="4" xfId="0" applyFont="1" applyFill="1" applyBorder="1" applyAlignment="1">
      <alignment horizontal="center" vertical="center"/>
    </xf>
    <xf numFmtId="0" fontId="11" fillId="20" borderId="4" xfId="0" applyFont="1" applyFill="1" applyBorder="1" applyAlignment="1">
      <alignment horizontal="center" vertical="center"/>
    </xf>
    <xf numFmtId="0" fontId="11" fillId="21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4" fontId="14" fillId="22" borderId="0" xfId="0" applyNumberFormat="1" applyFont="1" applyFill="1" applyAlignment="1">
      <alignment horizontal="right" vertical="center"/>
    </xf>
    <xf numFmtId="0" fontId="3" fillId="13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164" fontId="8" fillId="13" borderId="3" xfId="0" applyNumberFormat="1" applyFont="1" applyFill="1" applyBorder="1" applyAlignment="1">
      <alignment horizontal="right" vertical="center"/>
    </xf>
    <xf numFmtId="2" fontId="14" fillId="22" borderId="0" xfId="0" applyNumberFormat="1" applyFont="1" applyFill="1" applyAlignment="1">
      <alignment horizontal="right" vertical="center"/>
    </xf>
    <xf numFmtId="0" fontId="13" fillId="0" borderId="2" xfId="0" applyFont="1" applyBorder="1"/>
    <xf numFmtId="0" fontId="12" fillId="23" borderId="2" xfId="0" applyFont="1" applyFill="1" applyBorder="1" applyAlignment="1">
      <alignment horizontal="center"/>
    </xf>
    <xf numFmtId="168" fontId="12" fillId="23" borderId="2" xfId="0" applyNumberFormat="1" applyFont="1" applyFill="1" applyBorder="1"/>
    <xf numFmtId="9" fontId="0" fillId="22" borderId="2" xfId="0" applyNumberFormat="1" applyFill="1" applyBorder="1"/>
    <xf numFmtId="9" fontId="0" fillId="15" borderId="2" xfId="0" applyNumberFormat="1" applyFill="1" applyBorder="1"/>
    <xf numFmtId="9" fontId="0" fillId="24" borderId="2" xfId="0" applyNumberFormat="1" applyFill="1" applyBorder="1"/>
    <xf numFmtId="0" fontId="13" fillId="25" borderId="2" xfId="0" applyFont="1" applyFill="1" applyBorder="1"/>
    <xf numFmtId="167" fontId="12" fillId="23" borderId="2" xfId="0" applyNumberFormat="1" applyFont="1" applyFill="1" applyBorder="1"/>
    <xf numFmtId="0" fontId="0" fillId="0" borderId="0" xfId="0" applyAlignment="1">
      <alignment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0" fontId="3" fillId="6" borderId="0" xfId="0" applyFont="1" applyFill="1" applyAlignment="1">
      <alignment horizontal="left" vertical="center" wrapText="1"/>
    </xf>
    <xf numFmtId="169" fontId="14" fillId="22" borderId="0" xfId="0" applyNumberFormat="1" applyFont="1" applyFill="1" applyAlignment="1">
      <alignment horizontal="right" vertical="center" wrapText="1"/>
    </xf>
    <xf numFmtId="169" fontId="14" fillId="22" borderId="0" xfId="0" applyNumberFormat="1" applyFont="1" applyFill="1" applyAlignment="1">
      <alignment horizontal="right" vertical="center"/>
    </xf>
    <xf numFmtId="169" fontId="8" fillId="12" borderId="0" xfId="0" applyNumberFormat="1" applyFont="1" applyFill="1" applyAlignment="1">
      <alignment horizontal="right" vertical="center"/>
    </xf>
    <xf numFmtId="0" fontId="3" fillId="7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164" fontId="19" fillId="2" borderId="0" xfId="0" applyNumberFormat="1" applyFont="1" applyFill="1" applyAlignment="1">
      <alignment horizontal="right" vertical="center"/>
    </xf>
    <xf numFmtId="0" fontId="11" fillId="22" borderId="0" xfId="0" applyFont="1" applyFill="1" applyAlignment="1">
      <alignment horizontal="right"/>
    </xf>
    <xf numFmtId="1" fontId="14" fillId="22" borderId="0" xfId="0" applyNumberFormat="1" applyFont="1" applyFill="1" applyAlignment="1">
      <alignment horizontal="right" vertical="center"/>
    </xf>
    <xf numFmtId="165" fontId="14" fillId="22" borderId="0" xfId="0" applyNumberFormat="1" applyFont="1" applyFill="1" applyAlignment="1">
      <alignment horizontal="right"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/>
    </xf>
    <xf numFmtId="0" fontId="0" fillId="26" borderId="5" xfId="0" applyFill="1" applyBorder="1" applyAlignment="1">
      <alignment vertical="center"/>
    </xf>
    <xf numFmtId="0" fontId="0" fillId="0" borderId="0" xfId="0" applyAlignment="1">
      <alignment vertical="center"/>
    </xf>
    <xf numFmtId="0" fontId="13" fillId="0" borderId="5" xfId="0" applyFont="1" applyBorder="1" applyAlignment="1">
      <alignment wrapText="1"/>
    </xf>
    <xf numFmtId="0" fontId="4" fillId="0" borderId="0" xfId="0" applyFont="1" applyAlignment="1">
      <alignment horizontal="left" vertical="center" wrapText="1" indent="1"/>
    </xf>
    <xf numFmtId="166" fontId="14" fillId="22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166" fontId="8" fillId="13" borderId="3" xfId="0" applyNumberFormat="1" applyFont="1" applyFill="1" applyBorder="1" applyAlignment="1">
      <alignment horizontal="right" vertical="center"/>
    </xf>
    <xf numFmtId="165" fontId="8" fillId="13" borderId="3" xfId="0" applyNumberFormat="1" applyFont="1" applyFill="1" applyBorder="1" applyAlignment="1">
      <alignment horizontal="right" vertical="center"/>
    </xf>
    <xf numFmtId="0" fontId="4" fillId="13" borderId="0" xfId="0" applyFont="1" applyFill="1" applyAlignment="1">
      <alignment horizontal="left" vertical="center" wrapText="1"/>
    </xf>
    <xf numFmtId="2" fontId="22" fillId="0" borderId="0" xfId="0" applyNumberFormat="1" applyFont="1" applyAlignment="1">
      <alignment horizontal="right"/>
    </xf>
    <xf numFmtId="2" fontId="10" fillId="22" borderId="0" xfId="0" applyNumberFormat="1" applyFont="1" applyFill="1" applyAlignment="1">
      <alignment horizontal="right"/>
    </xf>
    <xf numFmtId="165" fontId="22" fillId="0" borderId="0" xfId="0" applyNumberFormat="1" applyFont="1" applyAlignment="1">
      <alignment horizontal="right"/>
    </xf>
    <xf numFmtId="165" fontId="10" fillId="22" borderId="0" xfId="0" applyNumberFormat="1" applyFont="1" applyFill="1" applyAlignment="1">
      <alignment horizontal="right"/>
    </xf>
    <xf numFmtId="170" fontId="10" fillId="12" borderId="0" xfId="0" applyNumberFormat="1" applyFont="1" applyFill="1" applyAlignment="1">
      <alignment horizontal="right" vertical="center"/>
    </xf>
    <xf numFmtId="167" fontId="0" fillId="22" borderId="0" xfId="0" applyNumberFormat="1" applyFill="1"/>
    <xf numFmtId="171" fontId="14" fillId="22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167" fontId="0" fillId="0" borderId="0" xfId="0" applyNumberFormat="1"/>
    <xf numFmtId="168" fontId="0" fillId="0" borderId="0" xfId="0" applyNumberFormat="1"/>
    <xf numFmtId="0" fontId="12" fillId="14" borderId="0" xfId="0" applyFont="1" applyFill="1"/>
    <xf numFmtId="0" fontId="0" fillId="15" borderId="0" xfId="0" applyFill="1"/>
    <xf numFmtId="168" fontId="0" fillId="15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172" fontId="10" fillId="12" borderId="0" xfId="0" applyNumberFormat="1" applyFont="1" applyFill="1" applyAlignment="1">
      <alignment horizontal="right" vertical="center"/>
    </xf>
    <xf numFmtId="1" fontId="22" fillId="13" borderId="0" xfId="0" applyNumberFormat="1" applyFont="1" applyFill="1" applyAlignment="1">
      <alignment horizontal="right"/>
    </xf>
    <xf numFmtId="164" fontId="22" fillId="13" borderId="0" xfId="0" applyNumberFormat="1" applyFont="1" applyFill="1" applyAlignment="1">
      <alignment horizontal="right"/>
    </xf>
    <xf numFmtId="0" fontId="3" fillId="0" borderId="0" xfId="0" applyFont="1" applyAlignment="1">
      <alignment horizontal="left" wrapText="1"/>
    </xf>
    <xf numFmtId="165" fontId="22" fillId="13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 wrapText="1"/>
    </xf>
    <xf numFmtId="0" fontId="18" fillId="1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2" fillId="14" borderId="2" xfId="0" applyFont="1" applyFill="1" applyBorder="1"/>
    <xf numFmtId="164" fontId="9" fillId="11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left"/>
    </xf>
    <xf numFmtId="0" fontId="0" fillId="0" borderId="2" xfId="0" applyBorder="1" applyAlignment="1">
      <alignment wrapText="1"/>
    </xf>
    <xf numFmtId="0" fontId="16" fillId="14" borderId="2" xfId="0" applyFont="1" applyFill="1" applyBorder="1" applyAlignment="1">
      <alignment horizontal="center"/>
    </xf>
    <xf numFmtId="0" fontId="11" fillId="6" borderId="0" xfId="0" applyFont="1" applyFill="1" applyAlignment="1">
      <alignment horizontal="left" vertical="center"/>
    </xf>
    <xf numFmtId="0" fontId="20" fillId="27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E8F0FE"/>
      <rgbColor rgb="FF0000FF"/>
      <rgbColor rgb="FFFFF2CC"/>
      <rgbColor rgb="FFFF00FF"/>
      <rgbColor rgb="FFD9E8F5"/>
      <rgbColor rgb="FF9C0006"/>
      <rgbColor rgb="FF18A303"/>
      <rgbColor rgb="FF000080"/>
      <rgbColor rgb="FF92E285"/>
      <rgbColor rgb="FF800080"/>
      <rgbColor rgb="FF5B9BD5"/>
      <rgbColor rgb="FFA9D08E"/>
      <rgbColor rgb="FF878787"/>
      <rgbColor rgb="FF8FAADC"/>
      <rgbColor rgb="FFBE4B48"/>
      <rgbColor rgb="FFFFF5D9"/>
      <rgbColor rgb="FFDDEEF7"/>
      <rgbColor rgb="FF660066"/>
      <rgbColor rgb="FFC9A227"/>
      <rgbColor rgb="FF0066CC"/>
      <rgbColor rgb="FFD9D9D9"/>
      <rgbColor rgb="FF000080"/>
      <rgbColor rgb="FFFF00FF"/>
      <rgbColor rgb="FFE8F5E0"/>
      <rgbColor rgb="FFDCE6F1"/>
      <rgbColor rgb="FF800080"/>
      <rgbColor rgb="FF800000"/>
      <rgbColor rgb="FFEEF2F7"/>
      <rgbColor rgb="FF0000FF"/>
      <rgbColor rgb="FFDDE9F7"/>
      <rgbColor rgb="FFD9EAF7"/>
      <rgbColor rgb="FFE2F0D9"/>
      <rgbColor rgb="FFFFE699"/>
      <rgbColor rgb="FFD9E2F3"/>
      <rgbColor rgb="FFF4B183"/>
      <rgbColor rgb="FFF7E0E8"/>
      <rgbColor rgb="FFFFC7CE"/>
      <rgbColor rgb="FF4A7EBB"/>
      <rgbColor rgb="FF4BACC6"/>
      <rgbColor rgb="FF9BBB59"/>
      <rgbColor rgb="FFFFD966"/>
      <rgbColor rgb="FFF79646"/>
      <rgbColor rgb="FFE7E6E6"/>
      <rgbColor rgb="FF8064A2"/>
      <rgbColor rgb="FFA6A6A6"/>
      <rgbColor rgb="FF13315C"/>
      <rgbColor rgb="FF4F81BD"/>
      <rgbColor rgb="FF0B2545"/>
      <rgbColor rgb="FF333300"/>
      <rgbColor rgb="FF993300"/>
      <rgbColor rgb="FFC0504D"/>
      <rgbColor rgb="FF1F4E78"/>
      <rgbColor rgb="FF2F3E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Revenue &amp; EBITDA — 10-year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KPIs!$B$9</c:f>
              <c:strCache>
                <c:ptCount val="1"/>
                <c:pt idx="0">
                  <c:v>Total revenue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KPIs!$C$8:$L$8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KPIs!$C$9:$L$9</c:f>
              <c:numCache>
                <c:formatCode>"₹ "#,##0.0" Cr";[Red]"(₹ "#,##0.0" Cr)";\-</c:formatCode>
                <c:ptCount val="10"/>
                <c:pt idx="0">
                  <c:v>52.5</c:v>
                </c:pt>
                <c:pt idx="1">
                  <c:v>203.4075</c:v>
                </c:pt>
                <c:pt idx="2">
                  <c:v>491.02540699999992</c:v>
                </c:pt>
                <c:pt idx="3">
                  <c:v>855.20352269</c:v>
                </c:pt>
                <c:pt idx="4">
                  <c:v>1447.7017222022996</c:v>
                </c:pt>
                <c:pt idx="5">
                  <c:v>2180.2274061255407</c:v>
                </c:pt>
                <c:pt idx="6">
                  <c:v>2883.8462180416127</c:v>
                </c:pt>
                <c:pt idx="7">
                  <c:v>3659.3439600410056</c:v>
                </c:pt>
                <c:pt idx="8">
                  <c:v>4380.6578571923174</c:v>
                </c:pt>
                <c:pt idx="9">
                  <c:v>5055.3199605424852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96-4031-A4A6-5363132C146C}"/>
            </c:ext>
          </c:extLst>
        </c:ser>
        <c:ser>
          <c:idx val="1"/>
          <c:order val="1"/>
          <c:tx>
            <c:strRef>
              <c:f>KPIs!$B$15</c:f>
              <c:strCache>
                <c:ptCount val="1"/>
                <c:pt idx="0">
                  <c:v>EBITDA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KPIs!$C$8:$L$8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KPIs!$C$15:$L$15</c:f>
              <c:numCache>
                <c:formatCode>"₹ "#,##0.0" Cr";[Red]"(₹ "#,##0.0" Cr)";\-</c:formatCode>
                <c:ptCount val="10"/>
                <c:pt idx="0">
                  <c:v>-324.49622963353295</c:v>
                </c:pt>
                <c:pt idx="1">
                  <c:v>-316.78236483293796</c:v>
                </c:pt>
                <c:pt idx="2">
                  <c:v>-22.79940011781423</c:v>
                </c:pt>
                <c:pt idx="3">
                  <c:v>190.46391933926481</c:v>
                </c:pt>
                <c:pt idx="4">
                  <c:v>501.69300986837601</c:v>
                </c:pt>
                <c:pt idx="5">
                  <c:v>876.56193951879095</c:v>
                </c:pt>
                <c:pt idx="6">
                  <c:v>1232.8938702214309</c:v>
                </c:pt>
                <c:pt idx="7">
                  <c:v>1622.8415406452673</c:v>
                </c:pt>
                <c:pt idx="8">
                  <c:v>1992.5860561246886</c:v>
                </c:pt>
                <c:pt idx="9">
                  <c:v>2347.0901238151573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196-4031-A4A6-5363132C1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6862968"/>
        <c:axId val="82682438"/>
      </c:lineChart>
      <c:catAx>
        <c:axId val="368629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2682438"/>
        <c:crosses val="autoZero"/>
        <c:auto val="1"/>
        <c:lblAlgn val="ctr"/>
        <c:lblOffset val="100"/>
        <c:noMultiLvlLbl val="0"/>
      </c:catAx>
      <c:valAx>
        <c:axId val="82682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 &quot;#,##0.0&quot; Cr&quot;;[Red]&quot;(₹ &quot;#,##0.0&quot; Cr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68629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n-IN"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Revenue by Vertical (stacked)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Revenue!$B$6</c:f>
              <c:strCache>
                <c:ptCount val="1"/>
                <c:pt idx="0">
                  <c:v>V1 - AESA Radar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Revenue!$D$6:$M$6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125</c:v>
                </c:pt>
                <c:pt idx="3">
                  <c:v>206.05015000000003</c:v>
                </c:pt>
                <c:pt idx="4">
                  <c:v>328.29602499999999</c:v>
                </c:pt>
                <c:pt idx="5">
                  <c:v>452.63901249999998</c:v>
                </c:pt>
                <c:pt idx="6">
                  <c:v>565.62770624999996</c:v>
                </c:pt>
                <c:pt idx="7">
                  <c:v>677.77455312500001</c:v>
                </c:pt>
                <c:pt idx="8">
                  <c:v>774.05507656249995</c:v>
                </c:pt>
                <c:pt idx="9">
                  <c:v>865.11598828125011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C-4C09-AE76-62E58DBBBF11}"/>
            </c:ext>
          </c:extLst>
        </c:ser>
        <c:ser>
          <c:idx val="1"/>
          <c:order val="1"/>
          <c:tx>
            <c:strRef>
              <c:f>Revenue!$B$7</c:f>
              <c:strCache>
                <c:ptCount val="1"/>
                <c:pt idx="0">
                  <c:v>V2 - Electronic Warfare &amp; SIGINT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Revenue!$D$7:$M$7</c:f>
              <c:numCache>
                <c:formatCode>"₹ "#,##0.0" Cr";[Red]"(₹ "#,##0.0" Cr)";\-</c:formatCode>
                <c:ptCount val="10"/>
                <c:pt idx="0">
                  <c:v>52.5</c:v>
                </c:pt>
                <c:pt idx="1">
                  <c:v>144.28749999999999</c:v>
                </c:pt>
                <c:pt idx="2">
                  <c:v>265.39899999999994</c:v>
                </c:pt>
                <c:pt idx="3">
                  <c:v>337.14244999999994</c:v>
                </c:pt>
                <c:pt idx="4">
                  <c:v>430.99717499999991</c:v>
                </c:pt>
                <c:pt idx="5">
                  <c:v>538.13128749999987</c:v>
                </c:pt>
                <c:pt idx="6">
                  <c:v>596.90129374999992</c:v>
                </c:pt>
                <c:pt idx="7">
                  <c:v>681.07374687499998</c:v>
                </c:pt>
                <c:pt idx="8">
                  <c:v>731.3246734375</c:v>
                </c:pt>
                <c:pt idx="9">
                  <c:v>760.43113671875005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C-4C09-AE76-62E58DBBBF11}"/>
            </c:ext>
          </c:extLst>
        </c:ser>
        <c:ser>
          <c:idx val="2"/>
          <c:order val="2"/>
          <c:tx>
            <c:strRef>
              <c:f>Revenue!$B$8</c:f>
              <c:strCache>
                <c:ptCount val="1"/>
                <c:pt idx="0">
                  <c:v>V3 - Counter-UAS (Anti-Drone)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Revenue!$D$8:$M$8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24.219657000000002</c:v>
                </c:pt>
                <c:pt idx="3">
                  <c:v>106.54833519</c:v>
                </c:pt>
                <c:pt idx="4">
                  <c:v>231.59855657730003</c:v>
                </c:pt>
                <c:pt idx="5">
                  <c:v>380.95360090679105</c:v>
                </c:pt>
                <c:pt idx="6">
                  <c:v>545.24509060755008</c:v>
                </c:pt>
                <c:pt idx="7">
                  <c:v>707.92921970705856</c:v>
                </c:pt>
                <c:pt idx="8">
                  <c:v>883.48954320372934</c:v>
                </c:pt>
                <c:pt idx="9">
                  <c:v>1036.5244879464988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FC-4C09-AE76-62E58DBBBF11}"/>
            </c:ext>
          </c:extLst>
        </c:ser>
        <c:ser>
          <c:idx val="3"/>
          <c:order val="3"/>
          <c:tx>
            <c:strRef>
              <c:f>Revenue!$B$9</c:f>
              <c:strCache>
                <c:ptCount val="1"/>
                <c:pt idx="0">
                  <c:v>V4 - MALE-class ISR UAS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Revenue!$D$9:$M$9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33</c:v>
                </c:pt>
                <c:pt idx="3">
                  <c:v>104.61</c:v>
                </c:pt>
                <c:pt idx="4">
                  <c:v>261.95069999999998</c:v>
                </c:pt>
                <c:pt idx="5">
                  <c:v>496.71540599999997</c:v>
                </c:pt>
                <c:pt idx="6">
                  <c:v>725.93927802000007</c:v>
                </c:pt>
                <c:pt idx="7">
                  <c:v>963.54327827340001</c:v>
                </c:pt>
                <c:pt idx="8">
                  <c:v>1173.7987924431779</c:v>
                </c:pt>
                <c:pt idx="9">
                  <c:v>1386.2537189369291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FC-4C09-AE76-62E58DBBBF11}"/>
            </c:ext>
          </c:extLst>
        </c:ser>
        <c:ser>
          <c:idx val="4"/>
          <c:order val="4"/>
          <c:tx>
            <c:strRef>
              <c:f>Revenue!$B$10</c:f>
              <c:strCache>
                <c:ptCount val="1"/>
                <c:pt idx="0">
                  <c:v>V5 - Autonomous Systems (AUV/USV)</c:v>
                </c:pt>
              </c:strCache>
            </c:strRef>
          </c:tx>
          <c:spPr>
            <a:solidFill>
              <a:srgbClr val="4BACC6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Revenue!$D$10:$M$10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18.952500000000001</c:v>
                </c:pt>
                <c:pt idx="3">
                  <c:v>50.450874999999996</c:v>
                </c:pt>
                <c:pt idx="4">
                  <c:v>100.33815625</c:v>
                </c:pt>
                <c:pt idx="5">
                  <c:v>158.71214218750001</c:v>
                </c:pt>
                <c:pt idx="6">
                  <c:v>225.99743164062497</c:v>
                </c:pt>
                <c:pt idx="7">
                  <c:v>326.59582373046874</c:v>
                </c:pt>
                <c:pt idx="8">
                  <c:v>438.56246779785153</c:v>
                </c:pt>
                <c:pt idx="9">
                  <c:v>549.15185084838856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FC-4C09-AE76-62E58DBBBF11}"/>
            </c:ext>
          </c:extLst>
        </c:ser>
        <c:ser>
          <c:idx val="5"/>
          <c:order val="5"/>
          <c:tx>
            <c:strRef>
              <c:f>Revenue!$B$11</c:f>
              <c:strCache>
                <c:ptCount val="1"/>
                <c:pt idx="0">
                  <c:v>V6 - Military AI Systems</c:v>
                </c:pt>
              </c:strCache>
            </c:strRef>
          </c:tx>
          <c:spPr>
            <a:solidFill>
              <a:srgbClr val="F79646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Revenue!$D$11:$M$11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9.1199999999999992</c:v>
                </c:pt>
                <c:pt idx="2">
                  <c:v>24.454249999999995</c:v>
                </c:pt>
                <c:pt idx="3">
                  <c:v>50.401712499999995</c:v>
                </c:pt>
                <c:pt idx="4">
                  <c:v>94.521109374999995</c:v>
                </c:pt>
                <c:pt idx="5">
                  <c:v>153.07595703125</c:v>
                </c:pt>
                <c:pt idx="6">
                  <c:v>224.1354177734375</c:v>
                </c:pt>
                <c:pt idx="7">
                  <c:v>302.4273383300781</c:v>
                </c:pt>
                <c:pt idx="8">
                  <c:v>379.4273037475586</c:v>
                </c:pt>
                <c:pt idx="9">
                  <c:v>457.84277781066896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FC-4C09-AE76-62E58DBBB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235062"/>
        <c:axId val="19234715"/>
      </c:barChart>
      <c:catAx>
        <c:axId val="352350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9234715"/>
        <c:crosses val="autoZero"/>
        <c:auto val="1"/>
        <c:lblAlgn val="ctr"/>
        <c:lblOffset val="100"/>
        <c:noMultiLvlLbl val="0"/>
      </c:catAx>
      <c:valAx>
        <c:axId val="192347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 &quot;#,##0.0&quot; Cr&quot;;[Red]&quot;(₹ &quot;#,##0.0&quot; Cr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52350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n-IN"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R&amp;D / NRE — Gross vs Leveraged (post-reuse)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'R&amp;D_NRE'!$B$8</c:f>
              <c:strCache>
                <c:ptCount val="1"/>
                <c:pt idx="0">
                  <c:v>Memo: Σ Gross NRE (standalone, no platform reuse)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'R&amp;D_NRE'!$D$4:$M$4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'R&amp;D_NRE'!$C$8:$M$8</c:f>
              <c:numCache>
                <c:formatCode>"₹ "#,##0.0" Cr";[Red]"(₹ "#,##0.0" Cr)";\-</c:formatCode>
                <c:ptCount val="11"/>
                <c:pt idx="0" formatCode="General">
                  <c:v>0</c:v>
                </c:pt>
                <c:pt idx="1">
                  <c:v>261.72500000000002</c:v>
                </c:pt>
                <c:pt idx="2">
                  <c:v>308.75</c:v>
                </c:pt>
                <c:pt idx="3">
                  <c:v>270.08499999999998</c:v>
                </c:pt>
                <c:pt idx="4">
                  <c:v>206.52999999999997</c:v>
                </c:pt>
                <c:pt idx="5">
                  <c:v>133.47499999999999</c:v>
                </c:pt>
                <c:pt idx="6">
                  <c:v>75.430000000000007</c:v>
                </c:pt>
                <c:pt idx="7">
                  <c:v>47.5</c:v>
                </c:pt>
                <c:pt idx="8">
                  <c:v>27.122500000000002</c:v>
                </c:pt>
                <c:pt idx="9">
                  <c:v>9.3574999999999982</c:v>
                </c:pt>
                <c:pt idx="10">
                  <c:v>8.7874999999999979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F8-40C0-8EB3-A34C8EF220F3}"/>
            </c:ext>
          </c:extLst>
        </c:ser>
        <c:ser>
          <c:idx val="1"/>
          <c:order val="1"/>
          <c:tx>
            <c:strRef>
              <c:f>'R&amp;D_NRE'!$B$6</c:f>
              <c:strCache>
                <c:ptCount val="1"/>
                <c:pt idx="0">
                  <c:v>Σ Leveraged vertical NRE (post-reuse)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'R&amp;D_NRE'!$D$4:$M$4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'R&amp;D_NRE'!$C$6:$M$6</c:f>
              <c:numCache>
                <c:formatCode>"₹ "#,##0.0" Cr";[Red]"(₹ "#,##0.0" Cr)";\-</c:formatCode>
                <c:ptCount val="11"/>
                <c:pt idx="0" formatCode="General">
                  <c:v>0</c:v>
                </c:pt>
                <c:pt idx="1">
                  <c:v>141.82787500000001</c:v>
                </c:pt>
                <c:pt idx="2">
                  <c:v>110.14917500000001</c:v>
                </c:pt>
                <c:pt idx="3">
                  <c:v>59.139457</c:v>
                </c:pt>
                <c:pt idx="4">
                  <c:v>26.76007499999999</c:v>
                </c:pt>
                <c:pt idx="5">
                  <c:v>10.307784999999996</c:v>
                </c:pt>
                <c:pt idx="6">
                  <c:v>3.7408529999999978</c:v>
                </c:pt>
                <c:pt idx="7">
                  <c:v>1.6259535000000047</c:v>
                </c:pt>
                <c:pt idx="8">
                  <c:v>0.65750924999999938</c:v>
                </c:pt>
                <c:pt idx="9">
                  <c:v>0.14221024999999998</c:v>
                </c:pt>
                <c:pt idx="10">
                  <c:v>8.7874999999999967E-2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F8-40C0-8EB3-A34C8EF22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958257"/>
        <c:axId val="95307428"/>
      </c:lineChart>
      <c:catAx>
        <c:axId val="19582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5307428"/>
        <c:crosses val="autoZero"/>
        <c:auto val="1"/>
        <c:lblAlgn val="ctr"/>
        <c:lblOffset val="100"/>
        <c:noMultiLvlLbl val="0"/>
      </c:catAx>
      <c:valAx>
        <c:axId val="953074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 &quot;#,##0.0&quot; Cr&quot;;[Red]&quot;(₹ &quot;#,##0.0&quot; Cr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9582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n-IN"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7</xdr:col>
      <xdr:colOff>133755</xdr:colOff>
      <xdr:row>67</xdr:row>
      <xdr:rowOff>164520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71</xdr:row>
      <xdr:rowOff>0</xdr:rowOff>
    </xdr:from>
    <xdr:to>
      <xdr:col>7</xdr:col>
      <xdr:colOff>133755</xdr:colOff>
      <xdr:row>89</xdr:row>
      <xdr:rowOff>164520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93</xdr:row>
      <xdr:rowOff>0</xdr:rowOff>
    </xdr:from>
    <xdr:to>
      <xdr:col>7</xdr:col>
      <xdr:colOff>133755</xdr:colOff>
      <xdr:row>111</xdr:row>
      <xdr:rowOff>164520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20"/>
  <sheetViews>
    <sheetView showGridLines="0" topLeftCell="A6" zoomScaleNormal="100" workbookViewId="0">
      <selection activeCell="I14" sqref="I14"/>
    </sheetView>
  </sheetViews>
  <sheetFormatPr defaultColWidth="8.7109375" defaultRowHeight="15" x14ac:dyDescent="0.25"/>
  <cols>
    <col min="1" max="1" width="2" customWidth="1"/>
    <col min="2" max="2" width="18.28515625" customWidth="1"/>
    <col min="3" max="3" width="70" customWidth="1"/>
    <col min="4" max="4" width="25.7109375" customWidth="1"/>
    <col min="5" max="6" width="14" customWidth="1"/>
  </cols>
  <sheetData>
    <row r="2" spans="2:6" ht="36" customHeight="1" x14ac:dyDescent="0.25">
      <c r="B2" s="112" t="s">
        <v>0</v>
      </c>
      <c r="C2" s="112"/>
      <c r="D2" s="112"/>
      <c r="E2" s="112"/>
      <c r="F2" s="112"/>
    </row>
    <row r="3" spans="2:6" ht="15" customHeight="1" x14ac:dyDescent="0.25">
      <c r="B3" s="113" t="s">
        <v>1</v>
      </c>
      <c r="C3" s="113"/>
      <c r="D3" s="113"/>
      <c r="E3" s="113"/>
      <c r="F3" s="113"/>
    </row>
    <row r="5" spans="2:6" ht="48" customHeight="1" x14ac:dyDescent="0.25">
      <c r="B5" s="2" t="s">
        <v>2</v>
      </c>
      <c r="C5" s="111" t="s">
        <v>3</v>
      </c>
      <c r="D5" s="111"/>
      <c r="E5" s="111"/>
      <c r="F5" s="111"/>
    </row>
    <row r="6" spans="2:6" ht="48" customHeight="1" x14ac:dyDescent="0.25">
      <c r="B6" s="2" t="s">
        <v>4</v>
      </c>
      <c r="C6" s="111" t="s">
        <v>5</v>
      </c>
      <c r="D6" s="111"/>
      <c r="E6" s="111"/>
      <c r="F6" s="111"/>
    </row>
    <row r="7" spans="2:6" ht="48" customHeight="1" x14ac:dyDescent="0.25">
      <c r="B7" s="2" t="s">
        <v>6</v>
      </c>
      <c r="C7" s="111" t="s">
        <v>7</v>
      </c>
      <c r="D7" s="111"/>
      <c r="E7" s="111"/>
      <c r="F7" s="111"/>
    </row>
    <row r="8" spans="2:6" ht="48" customHeight="1" x14ac:dyDescent="0.25">
      <c r="B8" s="2" t="s">
        <v>8</v>
      </c>
      <c r="C8" s="111" t="s">
        <v>9</v>
      </c>
      <c r="D8" s="111"/>
      <c r="E8" s="111"/>
      <c r="F8" s="111"/>
    </row>
    <row r="9" spans="2:6" ht="21.75" customHeight="1" x14ac:dyDescent="0.25">
      <c r="B9" s="2" t="s">
        <v>10</v>
      </c>
      <c r="C9" s="111" t="s">
        <v>11</v>
      </c>
      <c r="D9" s="111"/>
      <c r="E9" s="111"/>
      <c r="F9" s="111"/>
    </row>
    <row r="10" spans="2:6" ht="48" customHeight="1" x14ac:dyDescent="0.25">
      <c r="B10" s="2" t="s">
        <v>12</v>
      </c>
      <c r="C10" s="111" t="s">
        <v>13</v>
      </c>
      <c r="D10" s="111"/>
      <c r="E10" s="111"/>
      <c r="F10" s="111"/>
    </row>
    <row r="11" spans="2:6" ht="48" customHeight="1" x14ac:dyDescent="0.25">
      <c r="B11" s="2" t="s">
        <v>14</v>
      </c>
      <c r="C11" s="111" t="s">
        <v>15</v>
      </c>
      <c r="D11" s="111"/>
      <c r="E11" s="111"/>
      <c r="F11" s="111"/>
    </row>
    <row r="13" spans="2:6" ht="21.75" customHeight="1" x14ac:dyDescent="0.25">
      <c r="B13" s="110" t="s">
        <v>16</v>
      </c>
      <c r="C13" s="110"/>
      <c r="D13" s="110"/>
      <c r="E13" s="110"/>
      <c r="F13" s="110"/>
    </row>
    <row r="14" spans="2:6" ht="15" customHeight="1" x14ac:dyDescent="0.25"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</row>
    <row r="15" spans="2:6" ht="24.75" customHeight="1" x14ac:dyDescent="0.25">
      <c r="B15" s="4" t="s">
        <v>22</v>
      </c>
      <c r="C15" s="1" t="s">
        <v>23</v>
      </c>
      <c r="D15" s="1" t="s">
        <v>24</v>
      </c>
      <c r="E15" s="5" t="s">
        <v>25</v>
      </c>
      <c r="F15" s="1" t="s">
        <v>26</v>
      </c>
    </row>
    <row r="16" spans="2:6" ht="23.25" customHeight="1" x14ac:dyDescent="0.25">
      <c r="B16" s="4" t="s">
        <v>27</v>
      </c>
      <c r="C16" s="1" t="s">
        <v>28</v>
      </c>
      <c r="D16" s="1" t="s">
        <v>29</v>
      </c>
      <c r="E16" s="5" t="s">
        <v>30</v>
      </c>
      <c r="F16" s="1" t="s">
        <v>31</v>
      </c>
    </row>
    <row r="17" spans="2:6" ht="23.25" customHeight="1" x14ac:dyDescent="0.25">
      <c r="B17" s="6" t="s">
        <v>32</v>
      </c>
      <c r="C17" s="1" t="s">
        <v>33</v>
      </c>
      <c r="D17" s="1" t="s">
        <v>34</v>
      </c>
      <c r="E17" s="5" t="s">
        <v>25</v>
      </c>
      <c r="F17" s="1" t="s">
        <v>35</v>
      </c>
    </row>
    <row r="18" spans="2:6" ht="23.25" customHeight="1" x14ac:dyDescent="0.25">
      <c r="B18" s="4" t="s">
        <v>36</v>
      </c>
      <c r="C18" s="1" t="s">
        <v>37</v>
      </c>
      <c r="D18" s="1" t="s">
        <v>38</v>
      </c>
      <c r="E18" s="5" t="s">
        <v>39</v>
      </c>
      <c r="F18" s="1" t="s">
        <v>40</v>
      </c>
    </row>
    <row r="19" spans="2:6" ht="23.25" customHeight="1" x14ac:dyDescent="0.25">
      <c r="B19" s="7" t="s">
        <v>41</v>
      </c>
      <c r="C19" s="1" t="s">
        <v>42</v>
      </c>
      <c r="D19" s="1" t="s">
        <v>43</v>
      </c>
      <c r="E19" s="5" t="s">
        <v>44</v>
      </c>
      <c r="F19" s="1" t="s">
        <v>45</v>
      </c>
    </row>
    <row r="20" spans="2:6" ht="23.25" customHeight="1" x14ac:dyDescent="0.25">
      <c r="B20" s="8" t="s">
        <v>46</v>
      </c>
      <c r="C20" s="1" t="s">
        <v>47</v>
      </c>
      <c r="D20" s="1" t="s">
        <v>48</v>
      </c>
      <c r="E20" s="5" t="s">
        <v>30</v>
      </c>
      <c r="F20" s="1" t="s">
        <v>49</v>
      </c>
    </row>
  </sheetData>
  <mergeCells count="10">
    <mergeCell ref="B2:F2"/>
    <mergeCell ref="B3:F3"/>
    <mergeCell ref="C5:F5"/>
    <mergeCell ref="C6:F6"/>
    <mergeCell ref="C7:F7"/>
    <mergeCell ref="C8:F8"/>
    <mergeCell ref="C9:F9"/>
    <mergeCell ref="C10:F10"/>
    <mergeCell ref="C11:F11"/>
    <mergeCell ref="B13:F13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65"/>
  <sheetViews>
    <sheetView showGridLines="0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P14" sqref="P14"/>
    </sheetView>
  </sheetViews>
  <sheetFormatPr defaultColWidth="8.7109375" defaultRowHeight="15" x14ac:dyDescent="0.25"/>
  <cols>
    <col min="1" max="1" width="1.5703125" customWidth="1"/>
    <col min="2" max="2" width="42" customWidth="1"/>
    <col min="3" max="3" width="16.5703125" customWidth="1"/>
    <col min="4" max="12" width="13" customWidth="1"/>
  </cols>
  <sheetData>
    <row r="2" spans="2:13" ht="30" customHeight="1" x14ac:dyDescent="0.25">
      <c r="B2" s="118" t="s">
        <v>50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2:13" ht="21.75" customHeight="1" x14ac:dyDescent="0.25">
      <c r="B3" s="119" t="s">
        <v>51</v>
      </c>
      <c r="C3" s="119"/>
      <c r="D3" s="119" t="s">
        <v>52</v>
      </c>
      <c r="E3" s="119"/>
      <c r="F3" s="119" t="s">
        <v>53</v>
      </c>
      <c r="G3" s="119"/>
      <c r="H3" s="119" t="s">
        <v>54</v>
      </c>
      <c r="I3" s="119"/>
      <c r="J3" s="119" t="s">
        <v>55</v>
      </c>
      <c r="K3" s="119"/>
    </row>
    <row r="4" spans="2:13" ht="31.5" customHeight="1" x14ac:dyDescent="0.25">
      <c r="B4" s="115">
        <f>'P&amp;L'!L5</f>
        <v>5055.3199605424852</v>
      </c>
      <c r="C4" s="115"/>
      <c r="D4" s="116" t="str">
        <f>"₹ "&amp;TEXT('P&amp;L'!L16,"#,##0.0")&amp;" Cr ("&amp;TEXT(IFERROR('P&amp;L'!L16/'P&amp;L'!L5,0),"0.0%")&amp;")"</f>
        <v>₹ 2,347.1 Cr (46.4%)</v>
      </c>
      <c r="E4" s="116"/>
      <c r="F4" s="115">
        <f ca="1">SUM(CashFlow!C27:L27)</f>
        <v>4803.2654760257628</v>
      </c>
      <c r="G4" s="115"/>
      <c r="H4" s="117">
        <f ca="1">IFERROR(IRR(CashFlow!C27:L27),0)</f>
        <v>0.31896859345881357</v>
      </c>
      <c r="I4" s="117"/>
      <c r="J4" s="115">
        <f ca="1">NPV(Assumptions!$C$7,CashFlow!C27:L27)</f>
        <v>747.15263125746003</v>
      </c>
      <c r="K4" s="115"/>
    </row>
    <row r="6" spans="2:13" ht="25.5" customHeight="1" x14ac:dyDescent="0.25">
      <c r="B6" s="108" t="s">
        <v>56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</row>
    <row r="8" spans="2:13" ht="15" customHeight="1" x14ac:dyDescent="0.25">
      <c r="B8" s="9" t="s">
        <v>57</v>
      </c>
      <c r="C8" s="10" t="s">
        <v>30</v>
      </c>
      <c r="D8" s="10" t="s">
        <v>25</v>
      </c>
      <c r="E8" s="10" t="s">
        <v>44</v>
      </c>
      <c r="F8" s="10" t="s">
        <v>39</v>
      </c>
      <c r="G8" s="10" t="s">
        <v>58</v>
      </c>
      <c r="H8" s="10" t="s">
        <v>59</v>
      </c>
      <c r="I8" s="10" t="s">
        <v>60</v>
      </c>
      <c r="J8" s="10" t="s">
        <v>61</v>
      </c>
      <c r="K8" s="10" t="s">
        <v>62</v>
      </c>
      <c r="L8" s="10" t="s">
        <v>63</v>
      </c>
    </row>
    <row r="9" spans="2:13" ht="15" customHeight="1" x14ac:dyDescent="0.25">
      <c r="B9" s="11" t="s">
        <v>64</v>
      </c>
      <c r="C9" s="12">
        <f>'P&amp;L'!C5</f>
        <v>52.5</v>
      </c>
      <c r="D9" s="12">
        <f>'P&amp;L'!D5</f>
        <v>203.4075</v>
      </c>
      <c r="E9" s="12">
        <f>'P&amp;L'!E5</f>
        <v>491.02540699999992</v>
      </c>
      <c r="F9" s="12">
        <f>'P&amp;L'!F5</f>
        <v>855.20352269</v>
      </c>
      <c r="G9" s="12">
        <f>'P&amp;L'!G5</f>
        <v>1447.7017222022996</v>
      </c>
      <c r="H9" s="12">
        <f>'P&amp;L'!H5</f>
        <v>2180.2274061255407</v>
      </c>
      <c r="I9" s="12">
        <f>'P&amp;L'!I5</f>
        <v>2883.8462180416127</v>
      </c>
      <c r="J9" s="12">
        <f>'P&amp;L'!J5</f>
        <v>3659.3439600410056</v>
      </c>
      <c r="K9" s="12">
        <f>'P&amp;L'!K5</f>
        <v>4380.6578571923174</v>
      </c>
      <c r="L9" s="12">
        <f>'P&amp;L'!L5</f>
        <v>5055.3199605424852</v>
      </c>
    </row>
    <row r="10" spans="2:13" ht="15" customHeight="1" x14ac:dyDescent="0.25">
      <c r="B10" s="11" t="s">
        <v>65</v>
      </c>
      <c r="C10" s="13">
        <f>0</f>
        <v>0</v>
      </c>
      <c r="D10" s="13">
        <f t="shared" ref="D10:L10" si="0">IFERROR(D9/C9-1,0)</f>
        <v>2.8744285714285716</v>
      </c>
      <c r="E10" s="13">
        <f t="shared" si="0"/>
        <v>1.4139985349606081</v>
      </c>
      <c r="F10" s="13">
        <f t="shared" si="0"/>
        <v>0.74166857864851821</v>
      </c>
      <c r="G10" s="13">
        <f t="shared" si="0"/>
        <v>0.69281543374450338</v>
      </c>
      <c r="H10" s="13">
        <f t="shared" si="0"/>
        <v>0.50599213407641375</v>
      </c>
      <c r="I10" s="13">
        <f t="shared" si="0"/>
        <v>0.32272725768843791</v>
      </c>
      <c r="J10" s="13">
        <f t="shared" si="0"/>
        <v>0.26891092082088375</v>
      </c>
      <c r="K10" s="13">
        <f t="shared" si="0"/>
        <v>0.19711563193508286</v>
      </c>
      <c r="L10" s="13">
        <f t="shared" si="0"/>
        <v>0.15400931214988267</v>
      </c>
    </row>
    <row r="11" spans="2:13" ht="15" customHeight="1" x14ac:dyDescent="0.25">
      <c r="B11" s="11" t="s">
        <v>66</v>
      </c>
      <c r="C11" s="12">
        <f>'P&amp;L'!C9</f>
        <v>27.011616766467064</v>
      </c>
      <c r="D11" s="12">
        <f>'P&amp;L'!D9</f>
        <v>117.73006710906211</v>
      </c>
      <c r="E11" s="12">
        <f>'P&amp;L'!E9</f>
        <v>311.47721023232577</v>
      </c>
      <c r="F11" s="12">
        <f>'P&amp;L'!F9</f>
        <v>533.2585963579786</v>
      </c>
      <c r="G11" s="12">
        <f>'P&amp;L'!G9</f>
        <v>918.76581447717422</v>
      </c>
      <c r="H11" s="12">
        <f>'P&amp;L'!H9</f>
        <v>1408.7691918829548</v>
      </c>
      <c r="I11" s="12">
        <f>'P&amp;L'!I9</f>
        <v>1885.4316499992424</v>
      </c>
      <c r="J11" s="12">
        <f>'P&amp;L'!J9</f>
        <v>2410.6944235540827</v>
      </c>
      <c r="K11" s="12">
        <f>'P&amp;L'!K9</f>
        <v>2905.56732911368</v>
      </c>
      <c r="L11" s="12">
        <f>'P&amp;L'!L9</f>
        <v>3377.3479366966812</v>
      </c>
    </row>
    <row r="12" spans="2:13" ht="15" customHeight="1" x14ac:dyDescent="0.25">
      <c r="B12" s="11" t="s">
        <v>67</v>
      </c>
      <c r="C12" s="13">
        <f t="shared" ref="C12:L12" si="1">IFERROR(C11/C9,0)</f>
        <v>0.51450698602794409</v>
      </c>
      <c r="D12" s="13">
        <f t="shared" si="1"/>
        <v>0.57878921430656249</v>
      </c>
      <c r="E12" s="13">
        <f t="shared" si="1"/>
        <v>0.63434031272505176</v>
      </c>
      <c r="F12" s="13">
        <f t="shared" si="1"/>
        <v>0.62354583699636823</v>
      </c>
      <c r="G12" s="13">
        <f t="shared" si="1"/>
        <v>0.6346375088091436</v>
      </c>
      <c r="H12" s="13">
        <f t="shared" si="1"/>
        <v>0.64615699624951684</v>
      </c>
      <c r="I12" s="13">
        <f t="shared" si="1"/>
        <v>0.65379063495265621</v>
      </c>
      <c r="J12" s="13">
        <f t="shared" si="1"/>
        <v>0.65877776177319747</v>
      </c>
      <c r="K12" s="13">
        <f t="shared" si="1"/>
        <v>0.66327191573366495</v>
      </c>
      <c r="L12" s="13">
        <f t="shared" si="1"/>
        <v>0.66807797786438405</v>
      </c>
    </row>
    <row r="13" spans="2:13" ht="15" customHeight="1" x14ac:dyDescent="0.25">
      <c r="B13" s="11" t="s">
        <v>68</v>
      </c>
      <c r="C13" s="14">
        <f>'P&amp;L'!C12</f>
        <v>301.9362375</v>
      </c>
      <c r="D13" s="14">
        <f>'P&amp;L'!D12</f>
        <v>347.80872750000003</v>
      </c>
      <c r="E13" s="14">
        <f>'P&amp;L'!E12</f>
        <v>185.2173741</v>
      </c>
      <c r="F13" s="14">
        <f>'P&amp;L'!F12</f>
        <v>118.02113941999998</v>
      </c>
      <c r="G13" s="14">
        <f>'P&amp;L'!G12</f>
        <v>80.586227815200004</v>
      </c>
      <c r="H13" s="14">
        <f>'P&amp;L'!H12</f>
        <v>66.91187624668801</v>
      </c>
      <c r="I13" s="14">
        <f>'P&amp;L'!I12</f>
        <v>63.404197713466267</v>
      </c>
      <c r="J13" s="14">
        <f>'P&amp;L'!J12</f>
        <v>65.917667963094502</v>
      </c>
      <c r="K13" s="14">
        <f>'P&amp;L'!K12</f>
        <v>67.497848644812834</v>
      </c>
      <c r="L13" s="14">
        <f>'P&amp;L'!L12</f>
        <v>68.640794620691878</v>
      </c>
    </row>
    <row r="14" spans="2:13" ht="34.5" customHeight="1" x14ac:dyDescent="0.25">
      <c r="B14" s="11" t="s">
        <v>69</v>
      </c>
      <c r="C14" s="14">
        <f>'R&amp;D_NRE'!D8-'R&amp;D_NRE'!D6</f>
        <v>119.89712500000002</v>
      </c>
      <c r="D14" s="14">
        <f>'R&amp;D_NRE'!E8-'R&amp;D_NRE'!E6</f>
        <v>198.60082499999999</v>
      </c>
      <c r="E14" s="14">
        <f>'R&amp;D_NRE'!F8-'R&amp;D_NRE'!F6</f>
        <v>210.94554299999999</v>
      </c>
      <c r="F14" s="14">
        <f>'R&amp;D_NRE'!G8-'R&amp;D_NRE'!G6</f>
        <v>179.76992499999997</v>
      </c>
      <c r="G14" s="14">
        <f>'R&amp;D_NRE'!H8-'R&amp;D_NRE'!H6</f>
        <v>123.167215</v>
      </c>
      <c r="H14" s="14">
        <f>'R&amp;D_NRE'!I8-'R&amp;D_NRE'!I6</f>
        <v>71.689147000000006</v>
      </c>
      <c r="I14" s="14">
        <f>'R&amp;D_NRE'!J8-'R&amp;D_NRE'!J6</f>
        <v>45.874046499999999</v>
      </c>
      <c r="J14" s="14">
        <f>'R&amp;D_NRE'!K8-'R&amp;D_NRE'!K6</f>
        <v>26.464990750000002</v>
      </c>
      <c r="K14" s="14">
        <f>'R&amp;D_NRE'!L8-'R&amp;D_NRE'!L6</f>
        <v>9.2152897499999984</v>
      </c>
      <c r="L14" s="14">
        <f>'R&amp;D_NRE'!M8-'R&amp;D_NRE'!M6</f>
        <v>8.6996249999999975</v>
      </c>
    </row>
    <row r="15" spans="2:13" ht="15" customHeight="1" x14ac:dyDescent="0.25">
      <c r="B15" s="11" t="s">
        <v>70</v>
      </c>
      <c r="C15" s="12">
        <f>'P&amp;L'!C16</f>
        <v>-324.49622963353295</v>
      </c>
      <c r="D15" s="12">
        <f>'P&amp;L'!D16</f>
        <v>-316.78236483293796</v>
      </c>
      <c r="E15" s="12">
        <f>'P&amp;L'!E16</f>
        <v>-22.79940011781423</v>
      </c>
      <c r="F15" s="12">
        <f>'P&amp;L'!F16</f>
        <v>190.46391933926481</v>
      </c>
      <c r="G15" s="12">
        <f>'P&amp;L'!G16</f>
        <v>501.69300986837601</v>
      </c>
      <c r="H15" s="12">
        <f>'P&amp;L'!H16</f>
        <v>876.56193951879095</v>
      </c>
      <c r="I15" s="12">
        <f>'P&amp;L'!I16</f>
        <v>1232.8938702214309</v>
      </c>
      <c r="J15" s="12">
        <f>'P&amp;L'!J16</f>
        <v>1622.8415406452673</v>
      </c>
      <c r="K15" s="12">
        <f>'P&amp;L'!K16</f>
        <v>1992.5860561246886</v>
      </c>
      <c r="L15" s="12">
        <f>'P&amp;L'!L16</f>
        <v>2347.0901238151573</v>
      </c>
    </row>
    <row r="16" spans="2:13" ht="15" customHeight="1" x14ac:dyDescent="0.25">
      <c r="B16" s="11" t="s">
        <v>71</v>
      </c>
      <c r="C16" s="13">
        <f t="shared" ref="C16:L16" si="2">IFERROR(C15/C9,0)</f>
        <v>-6.1808805644482465</v>
      </c>
      <c r="D16" s="13">
        <f t="shared" si="2"/>
        <v>-1.5573779965484948</v>
      </c>
      <c r="E16" s="13">
        <f t="shared" si="2"/>
        <v>-4.6432220803218509E-2</v>
      </c>
      <c r="F16" s="13">
        <f t="shared" si="2"/>
        <v>0.22271180401615986</v>
      </c>
      <c r="G16" s="13">
        <f t="shared" si="2"/>
        <v>0.34654445883035995</v>
      </c>
      <c r="H16" s="13">
        <f t="shared" si="2"/>
        <v>0.40205069299469087</v>
      </c>
      <c r="I16" s="13">
        <f t="shared" si="2"/>
        <v>0.42751720341685734</v>
      </c>
      <c r="J16" s="13">
        <f t="shared" si="2"/>
        <v>0.4434788198010996</v>
      </c>
      <c r="K16" s="13">
        <f t="shared" si="2"/>
        <v>0.45486000529650839</v>
      </c>
      <c r="L16" s="13">
        <f t="shared" si="2"/>
        <v>0.46428122099778857</v>
      </c>
    </row>
    <row r="17" spans="2:12" ht="15" customHeight="1" x14ac:dyDescent="0.25">
      <c r="B17" s="11" t="s">
        <v>72</v>
      </c>
      <c r="C17" s="12">
        <f ca="1">'P&amp;L'!C24</f>
        <v>-335.06825344305679</v>
      </c>
      <c r="D17" s="12">
        <f ca="1">'P&amp;L'!D24</f>
        <v>-355.7134362615094</v>
      </c>
      <c r="E17" s="12">
        <f ca="1">'P&amp;L'!E24</f>
        <v>-91.417614403528518</v>
      </c>
      <c r="F17" s="12">
        <f ca="1">'P&amp;L'!F24</f>
        <v>99.488086005931478</v>
      </c>
      <c r="G17" s="12">
        <f ca="1">'P&amp;L'!G24</f>
        <v>400.12777177313791</v>
      </c>
      <c r="H17" s="12">
        <f ca="1">'P&amp;L'!H24</f>
        <v>671.23237574515917</v>
      </c>
      <c r="I17" s="12">
        <f ca="1">'P&amp;L'!I24</f>
        <v>844.0912955232161</v>
      </c>
      <c r="J17" s="12">
        <f ca="1">'P&amp;L'!J24</f>
        <v>1154.5239173887123</v>
      </c>
      <c r="K17" s="12">
        <f ca="1">'P&amp;L'!K24</f>
        <v>1443.6315718554213</v>
      </c>
      <c r="L17" s="12">
        <f ca="1">'P&amp;L'!L24</f>
        <v>1717.3482059566063</v>
      </c>
    </row>
    <row r="18" spans="2:12" ht="15" customHeight="1" x14ac:dyDescent="0.25">
      <c r="B18" s="11" t="s">
        <v>73</v>
      </c>
      <c r="C18" s="12">
        <f ca="1">CashFlow!C27</f>
        <v>-359.92178400479042</v>
      </c>
      <c r="D18" s="12">
        <f ca="1">CashFlow!D27</f>
        <v>-467.73336678522077</v>
      </c>
      <c r="E18" s="12">
        <f ca="1">CashFlow!E27</f>
        <v>-234.12709195264466</v>
      </c>
      <c r="F18" s="12">
        <f ca="1">CashFlow!F27</f>
        <v>2.9927110745399261</v>
      </c>
      <c r="G18" s="12">
        <f ca="1">CashFlow!G27</f>
        <v>265.53479379936294</v>
      </c>
      <c r="H18" s="12">
        <f ca="1">CashFlow!H27</f>
        <v>571.97388646174204</v>
      </c>
      <c r="I18" s="12">
        <f ca="1">CashFlow!I27</f>
        <v>925.83481162323369</v>
      </c>
      <c r="J18" s="12">
        <f ca="1">CashFlow!J27</f>
        <v>1071.8305578176626</v>
      </c>
      <c r="K18" s="12">
        <f ca="1">CashFlow!K27</f>
        <v>1365.9861850454836</v>
      </c>
      <c r="L18" s="12">
        <f ca="1">CashFlow!L27</f>
        <v>1660.8947729463935</v>
      </c>
    </row>
    <row r="19" spans="2:12" ht="15" customHeight="1" x14ac:dyDescent="0.25">
      <c r="B19" s="11" t="s">
        <v>74</v>
      </c>
      <c r="C19" s="14">
        <f ca="1">CashFlow!C28</f>
        <v>-359.92178400479042</v>
      </c>
      <c r="D19" s="14">
        <f ca="1">CashFlow!D28</f>
        <v>-827.65515079001125</v>
      </c>
      <c r="E19" s="14">
        <f ca="1">CashFlow!E28</f>
        <v>-1061.7822427426559</v>
      </c>
      <c r="F19" s="14">
        <f ca="1">CashFlow!F28</f>
        <v>-1058.7895316681158</v>
      </c>
      <c r="G19" s="14">
        <f ca="1">CashFlow!G28</f>
        <v>-793.25473786875295</v>
      </c>
      <c r="H19" s="14">
        <f ca="1">CashFlow!H28</f>
        <v>-221.28085140701091</v>
      </c>
      <c r="I19" s="14">
        <f ca="1">CashFlow!I28</f>
        <v>704.55396021622278</v>
      </c>
      <c r="J19" s="14">
        <f ca="1">CashFlow!J28</f>
        <v>1776.3845180338853</v>
      </c>
      <c r="K19" s="14">
        <f ca="1">CashFlow!K28</f>
        <v>3142.3707030793689</v>
      </c>
      <c r="L19" s="14">
        <f ca="1">CashFlow!L28</f>
        <v>4803.2654760257628</v>
      </c>
    </row>
    <row r="20" spans="2:12" ht="15" customHeight="1" x14ac:dyDescent="0.25">
      <c r="B20" s="11" t="s">
        <v>75</v>
      </c>
      <c r="C20" s="14">
        <f ca="1">CashFlow!C30</f>
        <v>110.07821599520958</v>
      </c>
      <c r="D20" s="14">
        <f ca="1">CashFlow!D30</f>
        <v>142.34484920998881</v>
      </c>
      <c r="E20" s="14">
        <f ca="1">CashFlow!E30</f>
        <v>238.21775725734415</v>
      </c>
      <c r="F20" s="14">
        <f ca="1">CashFlow!F30</f>
        <v>241.21046833188407</v>
      </c>
      <c r="G20" s="14">
        <f ca="1">CashFlow!G30</f>
        <v>470.74526213124705</v>
      </c>
      <c r="H20" s="14">
        <f ca="1">CashFlow!H30</f>
        <v>1006.7191485929891</v>
      </c>
      <c r="I20" s="14">
        <f ca="1">CashFlow!I30</f>
        <v>1877.5539602162228</v>
      </c>
      <c r="J20" s="14">
        <f ca="1">CashFlow!J30</f>
        <v>2884.3845180338853</v>
      </c>
      <c r="K20" s="14">
        <f ca="1">CashFlow!K30</f>
        <v>4242.3707030793685</v>
      </c>
      <c r="L20" s="14">
        <f ca="1">CashFlow!L30</f>
        <v>5903.2654760257619</v>
      </c>
    </row>
    <row r="21" spans="2:12" ht="15" customHeight="1" x14ac:dyDescent="0.25">
      <c r="B21" s="11" t="s">
        <v>76</v>
      </c>
      <c r="C21" s="14">
        <f>Backlog!D63</f>
        <v>7.6509900000000002</v>
      </c>
      <c r="D21" s="14">
        <f>Backlog!E63</f>
        <v>20.300722199999996</v>
      </c>
      <c r="E21" s="14">
        <f>Backlog!F63</f>
        <v>38.334047274</v>
      </c>
      <c r="F21" s="14">
        <f>Backlog!G63</f>
        <v>68.285290865579995</v>
      </c>
      <c r="G21" s="14">
        <f>Backlog!H63</f>
        <v>105.9893288659386</v>
      </c>
      <c r="H21" s="14">
        <f>Backlog!I63</f>
        <v>143.59793835567885</v>
      </c>
      <c r="I21" s="14">
        <f>Backlog!J63</f>
        <v>185.37943363092984</v>
      </c>
      <c r="J21" s="14">
        <f>Backlog!K63</f>
        <v>225.30466195019173</v>
      </c>
      <c r="K21" s="14">
        <f>Backlog!L63</f>
        <v>263.17484832072995</v>
      </c>
      <c r="L21" s="14">
        <f>Backlog!M63</f>
        <v>300.23537483096527</v>
      </c>
    </row>
    <row r="22" spans="2:12" ht="15" customHeight="1" x14ac:dyDescent="0.25">
      <c r="B22" s="11" t="s">
        <v>77</v>
      </c>
      <c r="C22" s="14">
        <f ca="1">CashFlow!C30+Backlog!D63</f>
        <v>117.72920599520958</v>
      </c>
      <c r="D22" s="14">
        <f ca="1">CashFlow!D30+Backlog!E63</f>
        <v>162.6455714099888</v>
      </c>
      <c r="E22" s="14">
        <f ca="1">CashFlow!E30+Backlog!F63</f>
        <v>276.55180453134415</v>
      </c>
      <c r="F22" s="14">
        <f ca="1">CashFlow!F30+Backlog!G63</f>
        <v>309.49575919746405</v>
      </c>
      <c r="G22" s="14">
        <f ca="1">CashFlow!G30+Backlog!H63</f>
        <v>576.73459099718571</v>
      </c>
      <c r="H22" s="14">
        <f ca="1">CashFlow!H30+Backlog!I63</f>
        <v>1150.317086948668</v>
      </c>
      <c r="I22" s="14">
        <f ca="1">CashFlow!I30+Backlog!J63</f>
        <v>2062.9333938471527</v>
      </c>
      <c r="J22" s="14">
        <f ca="1">CashFlow!J30+Backlog!K63</f>
        <v>3109.6891799840769</v>
      </c>
      <c r="K22" s="14">
        <f ca="1">CashFlow!K30+Backlog!L63</f>
        <v>4505.5455514000987</v>
      </c>
      <c r="L22" s="14">
        <f ca="1">CashFlow!L30+Backlog!M63</f>
        <v>6203.5008508567271</v>
      </c>
    </row>
    <row r="23" spans="2:12" ht="15" customHeight="1" x14ac:dyDescent="0.25">
      <c r="B23" s="11" t="s">
        <v>78</v>
      </c>
      <c r="C23" s="12">
        <f ca="1">CashFlow!C30</f>
        <v>110.07821599520958</v>
      </c>
      <c r="D23" s="12">
        <f ca="1">CashFlow!D30</f>
        <v>142.34484920998881</v>
      </c>
      <c r="E23" s="12">
        <f ca="1">CashFlow!E30</f>
        <v>238.21775725734415</v>
      </c>
      <c r="F23" s="12">
        <f ca="1">CashFlow!F30</f>
        <v>241.21046833188407</v>
      </c>
      <c r="G23" s="12">
        <f ca="1">CashFlow!G30</f>
        <v>470.74526213124705</v>
      </c>
      <c r="H23" s="12">
        <f ca="1">CashFlow!H30</f>
        <v>1006.7191485929891</v>
      </c>
      <c r="I23" s="12">
        <f ca="1">CashFlow!I30</f>
        <v>1877.5539602162228</v>
      </c>
      <c r="J23" s="12">
        <f ca="1">CashFlow!J30</f>
        <v>2884.3845180338853</v>
      </c>
      <c r="K23" s="12">
        <f ca="1">CashFlow!K30</f>
        <v>4242.3707030793685</v>
      </c>
      <c r="L23" s="12">
        <f ca="1">CashFlow!L30</f>
        <v>5903.2654760257619</v>
      </c>
    </row>
    <row r="24" spans="2:12" ht="15" customHeight="1" x14ac:dyDescent="0.25">
      <c r="B24" s="11" t="s">
        <v>79</v>
      </c>
      <c r="C24" s="14">
        <f>Backlog!D56</f>
        <v>63.758250000000004</v>
      </c>
      <c r="D24" s="14">
        <f>Backlog!E56</f>
        <v>169.17268499999997</v>
      </c>
      <c r="E24" s="14">
        <f>Backlog!F56</f>
        <v>319.45039394999998</v>
      </c>
      <c r="F24" s="14">
        <f>Backlog!G56</f>
        <v>569.0440905465</v>
      </c>
      <c r="G24" s="14">
        <f>Backlog!H56</f>
        <v>883.24440721615485</v>
      </c>
      <c r="H24" s="14">
        <f>Backlog!I56</f>
        <v>1196.6494862973236</v>
      </c>
      <c r="I24" s="14">
        <f>Backlog!J56</f>
        <v>1544.8286135910816</v>
      </c>
      <c r="J24" s="14">
        <f>Backlog!K56</f>
        <v>1877.5388495849311</v>
      </c>
      <c r="K24" s="14">
        <f>Backlog!L56</f>
        <v>2193.1237360060832</v>
      </c>
      <c r="L24" s="14">
        <f>Backlog!M56</f>
        <v>2501.9614569247105</v>
      </c>
    </row>
    <row r="25" spans="2:12" ht="15" customHeight="1" x14ac:dyDescent="0.25">
      <c r="B25" s="11" t="s">
        <v>80</v>
      </c>
      <c r="C25" s="14">
        <f>Backlog!D62</f>
        <v>76.509900000000002</v>
      </c>
      <c r="D25" s="14">
        <f>Backlog!E62</f>
        <v>203.00722199999996</v>
      </c>
      <c r="E25" s="14">
        <f>Backlog!F62</f>
        <v>383.34047274</v>
      </c>
      <c r="F25" s="14">
        <f>Backlog!G62</f>
        <v>682.85290865579998</v>
      </c>
      <c r="G25" s="14">
        <f>Backlog!H62</f>
        <v>1059.8932886593859</v>
      </c>
      <c r="H25" s="14">
        <f>Backlog!I62</f>
        <v>1435.9793835567884</v>
      </c>
      <c r="I25" s="14">
        <f>Backlog!J62</f>
        <v>1853.7943363092982</v>
      </c>
      <c r="J25" s="14">
        <f>Backlog!K62</f>
        <v>2253.0466195019171</v>
      </c>
      <c r="K25" s="14">
        <f>Backlog!L62</f>
        <v>2631.7484832072996</v>
      </c>
      <c r="L25" s="14">
        <f>Backlog!M62</f>
        <v>3002.3537483096525</v>
      </c>
    </row>
    <row r="26" spans="2:12" ht="15" customHeight="1" x14ac:dyDescent="0.25">
      <c r="B26" s="11" t="s">
        <v>81</v>
      </c>
      <c r="C26" s="14">
        <f>Funding!D9</f>
        <v>450</v>
      </c>
      <c r="D26" s="14">
        <f>Funding!E9</f>
        <v>400</v>
      </c>
      <c r="E26" s="14">
        <f>Funding!F9</f>
        <v>250</v>
      </c>
      <c r="F26" s="14">
        <f>Funding!G9</f>
        <v>0</v>
      </c>
      <c r="G26" s="14">
        <f>Funding!H9</f>
        <v>0</v>
      </c>
      <c r="H26" s="14">
        <f>Funding!I9</f>
        <v>0</v>
      </c>
      <c r="I26" s="14">
        <f>Funding!J9</f>
        <v>0</v>
      </c>
      <c r="J26" s="14">
        <f>Funding!K9</f>
        <v>0</v>
      </c>
      <c r="K26" s="14">
        <f>Funding!L9</f>
        <v>0</v>
      </c>
      <c r="L26" s="14">
        <f>Funding!M9</f>
        <v>0</v>
      </c>
    </row>
    <row r="27" spans="2:12" ht="15" customHeight="1" x14ac:dyDescent="0.25">
      <c r="B27" s="11" t="s">
        <v>82</v>
      </c>
      <c r="C27" s="14">
        <f>Funding!D16</f>
        <v>20</v>
      </c>
      <c r="D27" s="14">
        <f>Funding!E16</f>
        <v>120</v>
      </c>
      <c r="E27" s="14">
        <f>Funding!F16</f>
        <v>200</v>
      </c>
      <c r="F27" s="14">
        <f>Funding!G16</f>
        <v>200</v>
      </c>
      <c r="G27" s="14">
        <f>Funding!H16</f>
        <v>164</v>
      </c>
      <c r="H27" s="14">
        <f>Funding!I16</f>
        <v>128</v>
      </c>
      <c r="I27" s="14">
        <f>Funding!J16</f>
        <v>73</v>
      </c>
      <c r="J27" s="14">
        <f>Funding!K16</f>
        <v>8</v>
      </c>
      <c r="K27" s="14">
        <f>Funding!L16</f>
        <v>0</v>
      </c>
      <c r="L27" s="14">
        <f>Funding!M16</f>
        <v>0</v>
      </c>
    </row>
    <row r="28" spans="2:12" ht="15" customHeight="1" x14ac:dyDescent="0.25">
      <c r="B28" s="11" t="s">
        <v>83</v>
      </c>
      <c r="C28" s="15">
        <f>Headcount!D34</f>
        <v>91</v>
      </c>
      <c r="D28" s="15">
        <f>Headcount!E34</f>
        <v>156</v>
      </c>
      <c r="E28" s="15">
        <f>Headcount!F34</f>
        <v>216</v>
      </c>
      <c r="F28" s="15">
        <f>Headcount!G34</f>
        <v>287</v>
      </c>
      <c r="G28" s="15">
        <f>Headcount!H34</f>
        <v>349</v>
      </c>
      <c r="H28" s="15">
        <f>Headcount!I34</f>
        <v>414</v>
      </c>
      <c r="I28" s="15">
        <f>Headcount!J34</f>
        <v>475</v>
      </c>
      <c r="J28" s="15">
        <f>Headcount!K34</f>
        <v>506</v>
      </c>
      <c r="K28" s="15">
        <f>Headcount!L34</f>
        <v>530</v>
      </c>
      <c r="L28" s="15">
        <f>Headcount!M34</f>
        <v>543</v>
      </c>
    </row>
    <row r="29" spans="2:12" ht="15" customHeight="1" x14ac:dyDescent="0.25">
      <c r="B29" s="11" t="s">
        <v>84</v>
      </c>
      <c r="C29" s="14">
        <f t="shared" ref="C29:L29" si="3">IFERROR(C9/C28,0)</f>
        <v>0.57692307692307687</v>
      </c>
      <c r="D29" s="14">
        <f t="shared" si="3"/>
        <v>1.3038942307692307</v>
      </c>
      <c r="E29" s="14">
        <f t="shared" si="3"/>
        <v>2.2732657731481476</v>
      </c>
      <c r="F29" s="14">
        <f t="shared" si="3"/>
        <v>2.9798032149477351</v>
      </c>
      <c r="G29" s="14">
        <f t="shared" si="3"/>
        <v>4.1481424704936956</v>
      </c>
      <c r="H29" s="14">
        <f t="shared" si="3"/>
        <v>5.2662497732500979</v>
      </c>
      <c r="I29" s="14">
        <f t="shared" si="3"/>
        <v>6.0712551958770797</v>
      </c>
      <c r="J29" s="14">
        <f t="shared" si="3"/>
        <v>7.2319050593695762</v>
      </c>
      <c r="K29" s="14">
        <f t="shared" si="3"/>
        <v>8.2653921833817314</v>
      </c>
      <c r="L29" s="14">
        <f t="shared" si="3"/>
        <v>9.3099815111279653</v>
      </c>
    </row>
    <row r="30" spans="2:12" ht="15" customHeight="1" x14ac:dyDescent="0.25">
      <c r="B30" s="11" t="s">
        <v>85</v>
      </c>
      <c r="C30" s="14">
        <f>Capex!D21</f>
        <v>35.450000000000003</v>
      </c>
      <c r="D30" s="14">
        <f>Capex!E21</f>
        <v>67.224999999999994</v>
      </c>
      <c r="E30" s="14">
        <f>Capex!F21</f>
        <v>118.15</v>
      </c>
      <c r="F30" s="14">
        <f>Capex!G21</f>
        <v>135.69999999999999</v>
      </c>
      <c r="G30" s="14">
        <f>Capex!H21</f>
        <v>94.375</v>
      </c>
      <c r="H30" s="14">
        <f>Capex!I21</f>
        <v>47.1</v>
      </c>
      <c r="I30" s="14">
        <f>Capex!J21</f>
        <v>19.95</v>
      </c>
      <c r="J30" s="14">
        <f>Capex!K21</f>
        <v>29.45</v>
      </c>
      <c r="K30" s="14">
        <f>Capex!L21</f>
        <v>29.925000000000001</v>
      </c>
      <c r="L30" s="14">
        <f>Capex!M21</f>
        <v>22.8</v>
      </c>
    </row>
    <row r="31" spans="2:12" ht="15" customHeight="1" x14ac:dyDescent="0.25">
      <c r="B31" s="11" t="s">
        <v>86</v>
      </c>
      <c r="C31" s="16">
        <f ca="1">BalanceSheet!C33</f>
        <v>2.2407019383631344</v>
      </c>
      <c r="D31" s="16">
        <f ca="1">BalanceSheet!D33</f>
        <v>1.5805548423290925</v>
      </c>
      <c r="E31" s="16">
        <f ca="1">BalanceSheet!E33</f>
        <v>1.6481140879762379</v>
      </c>
      <c r="F31" s="16">
        <f ca="1">BalanceSheet!F33</f>
        <v>1.331650723484751</v>
      </c>
      <c r="G31" s="16">
        <f ca="1">BalanceSheet!G33</f>
        <v>1.498322234948152</v>
      </c>
      <c r="H31" s="16">
        <f ca="1">BalanceSheet!H33</f>
        <v>1.8700988213003238</v>
      </c>
      <c r="I31" s="16">
        <f ca="1">BalanceSheet!I33</f>
        <v>2.2370897343824274</v>
      </c>
      <c r="J31" s="16">
        <f ca="1">BalanceSheet!J33</f>
        <v>2.5706274993148752</v>
      </c>
      <c r="K31" s="16">
        <f ca="1">BalanceSheet!K33</f>
        <v>2.9598474341542995</v>
      </c>
      <c r="L31" s="16">
        <f ca="1">BalanceSheet!L33</f>
        <v>3.3631737701249804</v>
      </c>
    </row>
    <row r="32" spans="2:12" ht="15" customHeight="1" x14ac:dyDescent="0.25">
      <c r="B32" s="11" t="s">
        <v>87</v>
      </c>
      <c r="C32" s="13">
        <f ca="1">BalanceSheet!C35</f>
        <v>-1.8579852145950913</v>
      </c>
      <c r="D32" s="13">
        <f ca="1">BalanceSheet!D35</f>
        <v>-0.940429289606034</v>
      </c>
      <c r="E32" s="13">
        <f ca="1">BalanceSheet!E35</f>
        <v>-0.1138724054842819</v>
      </c>
      <c r="F32" s="13">
        <f ca="1">BalanceSheet!F35</f>
        <v>0.14031692628229853</v>
      </c>
      <c r="G32" s="13">
        <f ca="1">BalanceSheet!G35</f>
        <v>0.31690501618961198</v>
      </c>
      <c r="H32" s="13">
        <f ca="1">BalanceSheet!H35</f>
        <v>0.36365647284259972</v>
      </c>
      <c r="I32" s="13">
        <f ca="1">BalanceSheet!I35</f>
        <v>0.35666960697921912</v>
      </c>
      <c r="J32" s="13">
        <f ca="1">BalanceSheet!J35</f>
        <v>0.33243641588742606</v>
      </c>
      <c r="K32" s="13">
        <f ca="1">BalanceSheet!K35</f>
        <v>0.29343573102958698</v>
      </c>
      <c r="L32" s="13">
        <f ca="1">BalanceSheet!L35</f>
        <v>0.25862395919037051</v>
      </c>
    </row>
    <row r="33" spans="2:13" ht="15" customHeight="1" x14ac:dyDescent="0.25">
      <c r="B33" s="11" t="s">
        <v>88</v>
      </c>
      <c r="C33" s="14">
        <f>CashFlow!C11</f>
        <v>29.032814371257487</v>
      </c>
      <c r="D33" s="14">
        <f>CashFlow!D11</f>
        <v>110.87351912354028</v>
      </c>
      <c r="E33" s="14">
        <f>CashFlow!E11</f>
        <v>264.28559483437073</v>
      </c>
      <c r="F33" s="14">
        <f>CashFlow!F11</f>
        <v>461.43604320312591</v>
      </c>
      <c r="G33" s="14">
        <f>CashFlow!G11</f>
        <v>779.14637217546465</v>
      </c>
      <c r="H33" s="14">
        <f>CashFlow!H11</f>
        <v>1170.2919253246951</v>
      </c>
      <c r="I33" s="14">
        <f>CashFlow!I11</f>
        <v>1545.2629446832793</v>
      </c>
      <c r="J33" s="14">
        <f>CashFlow!J11</f>
        <v>1958.5510738336782</v>
      </c>
      <c r="K33" s="14">
        <f>CashFlow!K11</f>
        <v>2342.1848987894682</v>
      </c>
      <c r="L33" s="14">
        <f>CashFlow!L11</f>
        <v>2699.9077643033111</v>
      </c>
    </row>
    <row r="35" spans="2:13" ht="21.75" customHeight="1" x14ac:dyDescent="0.25">
      <c r="B35" s="110" t="s">
        <v>89</v>
      </c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</row>
    <row r="36" spans="2:13" ht="15" customHeight="1" x14ac:dyDescent="0.25">
      <c r="B36" s="11" t="s">
        <v>90</v>
      </c>
      <c r="C36" s="17">
        <f>SUM('P&amp;L'!C5:L5)</f>
        <v>21209.23355383526</v>
      </c>
    </row>
    <row r="37" spans="2:13" ht="15" customHeight="1" x14ac:dyDescent="0.25">
      <c r="B37" s="11" t="s">
        <v>91</v>
      </c>
      <c r="C37" s="17">
        <f>SUM('P&amp;L'!C16:L16)</f>
        <v>8100.0524649486906</v>
      </c>
    </row>
    <row r="38" spans="2:13" ht="15" customHeight="1" x14ac:dyDescent="0.25">
      <c r="B38" s="11" t="s">
        <v>92</v>
      </c>
      <c r="C38" s="17">
        <f ca="1">SUM('P&amp;L'!C24:L24)</f>
        <v>5548.2439201400903</v>
      </c>
    </row>
    <row r="39" spans="2:13" ht="15" customHeight="1" x14ac:dyDescent="0.25">
      <c r="B39" s="11" t="s">
        <v>93</v>
      </c>
      <c r="C39" s="17">
        <f>SUM('R&amp;D_NRE'!D12:M12)</f>
        <v>1365.9420915239536</v>
      </c>
    </row>
    <row r="40" spans="2:13" ht="15" customHeight="1" x14ac:dyDescent="0.25">
      <c r="B40" s="11" t="s">
        <v>94</v>
      </c>
      <c r="C40" s="17">
        <f>SUM('R&amp;D_NRE'!D8:M8)-SUM('R&amp;D_NRE'!D6:M6)</f>
        <v>994.32373199999984</v>
      </c>
    </row>
    <row r="41" spans="2:13" ht="15" customHeight="1" x14ac:dyDescent="0.25">
      <c r="B41" s="11" t="s">
        <v>95</v>
      </c>
      <c r="C41" s="17">
        <f>SUM(Funding!D9:M9)</f>
        <v>1100</v>
      </c>
    </row>
    <row r="42" spans="2:13" ht="15" customHeight="1" x14ac:dyDescent="0.25">
      <c r="B42" s="11" t="s">
        <v>96</v>
      </c>
      <c r="C42" s="17">
        <f>SUM(Capex!D21:M21)</f>
        <v>600.125</v>
      </c>
    </row>
    <row r="43" spans="2:13" ht="15" customHeight="1" x14ac:dyDescent="0.25">
      <c r="B43" s="11" t="s">
        <v>97</v>
      </c>
      <c r="C43" s="17">
        <f ca="1">NPV(Assumptions!$C$7,CashFlow!C27:L27)</f>
        <v>747.15263125746003</v>
      </c>
    </row>
    <row r="44" spans="2:13" ht="15" customHeight="1" x14ac:dyDescent="0.25">
      <c r="B44" s="11" t="s">
        <v>98</v>
      </c>
      <c r="C44" s="18">
        <f ca="1">IFERROR(IRR(CashFlow!C27:L27),0)</f>
        <v>0.31896859345881357</v>
      </c>
    </row>
    <row r="45" spans="2:13" ht="15" customHeight="1" x14ac:dyDescent="0.25">
      <c r="B45" s="11" t="s">
        <v>99</v>
      </c>
      <c r="C45" s="17">
        <f ca="1">MIN(CashFlow!C28:L28)</f>
        <v>-1061.7822427426559</v>
      </c>
    </row>
    <row r="46" spans="2:13" ht="15" customHeight="1" x14ac:dyDescent="0.25">
      <c r="B46" s="11" t="s">
        <v>100</v>
      </c>
      <c r="C46" s="19">
        <f>IFERROR(MATCH(TRUE(),INDEX('P&amp;L'!C16:L16&gt;0,0),0),"n/a")</f>
        <v>4</v>
      </c>
    </row>
    <row r="47" spans="2:13" ht="15" customHeight="1" x14ac:dyDescent="0.25">
      <c r="B47" s="11" t="s">
        <v>101</v>
      </c>
      <c r="C47" s="19">
        <f ca="1">IFERROR(MATCH(TRUE(),INDEX(CashFlow!C27:L27&gt;0,0),0),"n/a")</f>
        <v>4</v>
      </c>
    </row>
    <row r="49" spans="2:13" ht="15" customHeight="1" x14ac:dyDescent="0.25">
      <c r="B49" s="114" t="s">
        <v>102</v>
      </c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</row>
    <row r="50" spans="2:13" ht="15" customHeight="1" x14ac:dyDescent="0.25">
      <c r="B50" s="20" t="s">
        <v>103</v>
      </c>
      <c r="C50" s="21">
        <f>'R&amp;D_Buckets'!D89</f>
        <v>0.25990099009900991</v>
      </c>
      <c r="D50" s="21">
        <f>'R&amp;D_Buckets'!E89</f>
        <v>0.42404761904761912</v>
      </c>
      <c r="E50" s="21">
        <f>'R&amp;D_Buckets'!F89</f>
        <v>0.5533644859813085</v>
      </c>
      <c r="F50" s="21">
        <f>'R&amp;D_Buckets'!G89</f>
        <v>0.62811594202898557</v>
      </c>
      <c r="G50" s="21">
        <f>'R&amp;D_Buckets'!H89</f>
        <v>0.68394736842105253</v>
      </c>
      <c r="H50" s="21">
        <f>'R&amp;D_Buckets'!I89</f>
        <v>0.71365853658536593</v>
      </c>
      <c r="I50" s="21">
        <f>'R&amp;D_Buckets'!J89</f>
        <v>0.74026548672566372</v>
      </c>
      <c r="J50" s="21">
        <f>'R&amp;D_Buckets'!K89</f>
        <v>0.75130952380952387</v>
      </c>
      <c r="K50" s="21">
        <f>'R&amp;D_Buckets'!L89</f>
        <v>0.75159420289855072</v>
      </c>
      <c r="L50" s="21">
        <f>'R&amp;D_Buckets'!M89</f>
        <v>0.73258064516129029</v>
      </c>
    </row>
    <row r="51" spans="2:13" ht="15" customHeight="1" x14ac:dyDescent="0.25">
      <c r="B51" s="22" t="s">
        <v>104</v>
      </c>
      <c r="C51" s="23">
        <f>'R&amp;D_Buckets'!D60</f>
        <v>48.199999999999996</v>
      </c>
      <c r="D51" s="23">
        <f>'R&amp;D_Buckets'!E60</f>
        <v>74.75</v>
      </c>
      <c r="E51" s="23">
        <f>'R&amp;D_Buckets'!F60</f>
        <v>24.69</v>
      </c>
      <c r="F51" s="23">
        <f>'R&amp;D_Buckets'!G60</f>
        <v>11.26</v>
      </c>
      <c r="G51" s="23">
        <f>'R&amp;D_Buckets'!H60</f>
        <v>4.42</v>
      </c>
      <c r="H51" s="23">
        <f>'R&amp;D_Buckets'!I60</f>
        <v>1.7400000000000002</v>
      </c>
      <c r="I51" s="23">
        <f>'R&amp;D_Buckets'!J60</f>
        <v>0.74</v>
      </c>
      <c r="J51" s="23">
        <f>'R&amp;D_Buckets'!K60</f>
        <v>0.47400000000000003</v>
      </c>
      <c r="K51" s="23">
        <f>'R&amp;D_Buckets'!L60</f>
        <v>0.39900000000000002</v>
      </c>
      <c r="L51" s="23">
        <f>'R&amp;D_Buckets'!M60</f>
        <v>0.20900000000000002</v>
      </c>
    </row>
    <row r="52" spans="2:13" ht="15" customHeight="1" x14ac:dyDescent="0.25">
      <c r="B52" s="20" t="s">
        <v>105</v>
      </c>
      <c r="C52" s="24">
        <f>'R&amp;D_Buckets'!D88</f>
        <v>26.25</v>
      </c>
      <c r="D52" s="24">
        <f>'R&amp;D_Buckets'!E88</f>
        <v>89.050000000000011</v>
      </c>
      <c r="E52" s="24">
        <f>'R&amp;D_Buckets'!F88</f>
        <v>59.210000000000008</v>
      </c>
      <c r="F52" s="24">
        <f>'R&amp;D_Buckets'!G88</f>
        <v>43.34</v>
      </c>
      <c r="G52" s="24">
        <f>'R&amp;D_Buckets'!H88</f>
        <v>25.989999999999995</v>
      </c>
      <c r="H52" s="24">
        <f>'R&amp;D_Buckets'!I88</f>
        <v>14.630000000000003</v>
      </c>
      <c r="I52" s="24">
        <f>'R&amp;D_Buckets'!J88</f>
        <v>8.3650000000000002</v>
      </c>
      <c r="J52" s="24">
        <f>'R&amp;D_Buckets'!K88</f>
        <v>6.3110000000000008</v>
      </c>
      <c r="K52" s="24">
        <f>'R&amp;D_Buckets'!L88</f>
        <v>5.1859999999999999</v>
      </c>
      <c r="L52" s="24">
        <f>'R&amp;D_Buckets'!M88</f>
        <v>2.2709999999999999</v>
      </c>
    </row>
    <row r="53" spans="2:13" ht="15" customHeight="1" x14ac:dyDescent="0.25">
      <c r="B53" s="22" t="s">
        <v>106</v>
      </c>
      <c r="C53" s="23">
        <f>'R&amp;D_Buckets'!D82</f>
        <v>26.55</v>
      </c>
      <c r="D53" s="23">
        <f>'R&amp;D_Buckets'!E82</f>
        <v>46.199999999999996</v>
      </c>
      <c r="E53" s="23">
        <f>'R&amp;D_Buckets'!F82</f>
        <v>23.1</v>
      </c>
      <c r="F53" s="23">
        <f>'R&amp;D_Buckets'!G82</f>
        <v>14.399999999999999</v>
      </c>
      <c r="G53" s="23">
        <f>'R&amp;D_Buckets'!H82</f>
        <v>7.5900000000000034</v>
      </c>
      <c r="H53" s="23">
        <f>'R&amp;D_Buckets'!I82</f>
        <v>4.13</v>
      </c>
      <c r="I53" s="23">
        <f>'R&amp;D_Buckets'!J82</f>
        <v>2.1949999999999998</v>
      </c>
      <c r="J53" s="23">
        <f>'R&amp;D_Buckets'!K82</f>
        <v>1.6149999999999998</v>
      </c>
      <c r="K53" s="23">
        <f>'R&amp;D_Buckets'!L82</f>
        <v>1.3149999999999997</v>
      </c>
      <c r="L53" s="23">
        <f>'R&amp;D_Buckets'!M82</f>
        <v>0.62000000000000011</v>
      </c>
    </row>
    <row r="54" spans="2:13" ht="15" customHeight="1" x14ac:dyDescent="0.25">
      <c r="B54" s="20" t="s">
        <v>107</v>
      </c>
      <c r="C54" s="24">
        <f ca="1">BalanceSheet!C39</f>
        <v>21.875</v>
      </c>
      <c r="D54" s="24">
        <f ca="1">BalanceSheet!D39</f>
        <v>91.708333333333343</v>
      </c>
      <c r="E54" s="24">
        <f ca="1">BalanceSheet!E39</f>
        <v>121.83333333333334</v>
      </c>
      <c r="F54" s="24">
        <f ca="1">BalanceSheet!F39</f>
        <v>128.86500000000001</v>
      </c>
      <c r="G54" s="24">
        <f ca="1">BalanceSheet!G39</f>
        <v>114.215</v>
      </c>
      <c r="H54" s="24">
        <f ca="1">BalanceSheet!H39</f>
        <v>85.766666666666652</v>
      </c>
      <c r="I54" s="24">
        <f ca="1">BalanceSheet!I39</f>
        <v>54.034166666666664</v>
      </c>
      <c r="J54" s="24">
        <f ca="1">BalanceSheet!J39</f>
        <v>34.037499999999966</v>
      </c>
      <c r="K54" s="24">
        <f ca="1">BalanceSheet!K39</f>
        <v>21.919833333333258</v>
      </c>
      <c r="L54" s="24">
        <f ca="1">BalanceSheet!L39</f>
        <v>13.731999999999914</v>
      </c>
    </row>
    <row r="56" spans="2:13" ht="15" customHeight="1" x14ac:dyDescent="0.25">
      <c r="B56" s="25" t="s">
        <v>108</v>
      </c>
    </row>
    <row r="57" spans="2:13" ht="15" customHeight="1" x14ac:dyDescent="0.25">
      <c r="B57" t="s">
        <v>109</v>
      </c>
      <c r="C57" s="26">
        <f>L15</f>
        <v>2347.0901238151573</v>
      </c>
    </row>
    <row r="58" spans="2:13" ht="15" customHeight="1" x14ac:dyDescent="0.25">
      <c r="B58" t="s">
        <v>110</v>
      </c>
      <c r="C58" s="26">
        <f ca="1">L18</f>
        <v>1660.8947729463935</v>
      </c>
    </row>
    <row r="59" spans="2:13" ht="15" customHeight="1" x14ac:dyDescent="0.25">
      <c r="B59" t="s">
        <v>111</v>
      </c>
      <c r="C59">
        <f>12*C57</f>
        <v>28165.081485781888</v>
      </c>
    </row>
    <row r="60" spans="2:13" ht="15" customHeight="1" x14ac:dyDescent="0.25">
      <c r="B60" t="s">
        <v>112</v>
      </c>
      <c r="C60">
        <f ca="1">C58*1.03/(Assumptions!C7-0.03)</f>
        <v>11404.810774231903</v>
      </c>
    </row>
    <row r="61" spans="2:13" ht="15" customHeight="1" x14ac:dyDescent="0.25">
      <c r="B61" t="s">
        <v>113</v>
      </c>
      <c r="C61">
        <f>C59/(1+Assumptions!C7)^10</f>
        <v>5381.3462796591866</v>
      </c>
    </row>
    <row r="62" spans="2:13" ht="15" customHeight="1" x14ac:dyDescent="0.25">
      <c r="B62" t="s">
        <v>114</v>
      </c>
      <c r="C62">
        <f ca="1">C60/(1+Assumptions!C7)^10</f>
        <v>2179.0540908291669</v>
      </c>
    </row>
    <row r="63" spans="2:13" ht="15" customHeight="1" x14ac:dyDescent="0.25">
      <c r="B63" t="s">
        <v>115</v>
      </c>
      <c r="C63">
        <f ca="1">C43+C61</f>
        <v>6128.4989109166463</v>
      </c>
    </row>
    <row r="64" spans="2:13" ht="15" customHeight="1" x14ac:dyDescent="0.25">
      <c r="B64" t="s">
        <v>116</v>
      </c>
      <c r="C64">
        <f ca="1">C43+C62</f>
        <v>2926.206722086627</v>
      </c>
    </row>
    <row r="65" spans="2:3" ht="15" customHeight="1" x14ac:dyDescent="0.25">
      <c r="B65" t="s">
        <v>117</v>
      </c>
      <c r="C65" t="s">
        <v>118</v>
      </c>
    </row>
  </sheetData>
  <mergeCells count="14">
    <mergeCell ref="B2:L2"/>
    <mergeCell ref="B3:C3"/>
    <mergeCell ref="D3:E3"/>
    <mergeCell ref="F3:G3"/>
    <mergeCell ref="H3:I3"/>
    <mergeCell ref="J3:K3"/>
    <mergeCell ref="B6:M6"/>
    <mergeCell ref="B35:M35"/>
    <mergeCell ref="B49:M49"/>
    <mergeCell ref="B4:C4"/>
    <mergeCell ref="D4:E4"/>
    <mergeCell ref="F4:G4"/>
    <mergeCell ref="H4:I4"/>
    <mergeCell ref="J4:K4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C14"/>
  <sheetViews>
    <sheetView showGridLines="0" zoomScaleNormal="100" workbookViewId="0">
      <selection activeCell="E9" sqref="E9"/>
    </sheetView>
  </sheetViews>
  <sheetFormatPr defaultColWidth="8.7109375" defaultRowHeight="48.75" customHeight="1" x14ac:dyDescent="0.25"/>
  <cols>
    <col min="1" max="1" width="1.5703125" customWidth="1"/>
    <col min="2" max="2" width="30" customWidth="1"/>
    <col min="3" max="3" width="164.85546875" customWidth="1"/>
  </cols>
  <sheetData>
    <row r="2" spans="2:3" ht="48.75" customHeight="1" x14ac:dyDescent="0.25">
      <c r="B2" s="108" t="s">
        <v>119</v>
      </c>
      <c r="C2" s="108"/>
    </row>
    <row r="4" spans="2:3" ht="48.75" customHeight="1" x14ac:dyDescent="0.25">
      <c r="B4" s="2" t="s">
        <v>120</v>
      </c>
      <c r="C4" s="1" t="s">
        <v>121</v>
      </c>
    </row>
    <row r="5" spans="2:3" ht="48.75" customHeight="1" x14ac:dyDescent="0.25">
      <c r="B5" s="2" t="s">
        <v>122</v>
      </c>
      <c r="C5" s="1" t="s">
        <v>123</v>
      </c>
    </row>
    <row r="6" spans="2:3" ht="48.75" customHeight="1" x14ac:dyDescent="0.25">
      <c r="B6" s="2" t="s">
        <v>124</v>
      </c>
      <c r="C6" s="1" t="s">
        <v>927</v>
      </c>
    </row>
    <row r="7" spans="2:3" ht="48.75" customHeight="1" x14ac:dyDescent="0.25">
      <c r="B7" s="2" t="s">
        <v>125</v>
      </c>
      <c r="C7" s="1" t="s">
        <v>928</v>
      </c>
    </row>
    <row r="8" spans="2:3" ht="48.75" customHeight="1" x14ac:dyDescent="0.25">
      <c r="B8" s="2" t="s">
        <v>8</v>
      </c>
      <c r="C8" s="1" t="s">
        <v>126</v>
      </c>
    </row>
    <row r="9" spans="2:3" ht="48.75" customHeight="1" x14ac:dyDescent="0.25">
      <c r="B9" s="2" t="s">
        <v>127</v>
      </c>
      <c r="C9" s="1" t="s">
        <v>934</v>
      </c>
    </row>
    <row r="10" spans="2:3" ht="48.75" customHeight="1" x14ac:dyDescent="0.25">
      <c r="B10" s="2" t="s">
        <v>128</v>
      </c>
      <c r="C10" s="1" t="s">
        <v>926</v>
      </c>
    </row>
    <row r="11" spans="2:3" ht="48.75" customHeight="1" x14ac:dyDescent="0.25">
      <c r="B11" s="2" t="s">
        <v>129</v>
      </c>
      <c r="C11" s="1" t="s">
        <v>929</v>
      </c>
    </row>
    <row r="12" spans="2:3" ht="48.75" customHeight="1" x14ac:dyDescent="0.25">
      <c r="B12" s="2" t="s">
        <v>130</v>
      </c>
      <c r="C12" s="1" t="s">
        <v>131</v>
      </c>
    </row>
    <row r="13" spans="2:3" ht="48.75" customHeight="1" x14ac:dyDescent="0.25">
      <c r="B13" s="2" t="s">
        <v>132</v>
      </c>
      <c r="C13" s="1" t="s">
        <v>133</v>
      </c>
    </row>
    <row r="14" spans="2:3" ht="48.75" customHeight="1" x14ac:dyDescent="0.25">
      <c r="B14" s="2" t="s">
        <v>134</v>
      </c>
      <c r="C14" s="1" t="s">
        <v>135</v>
      </c>
    </row>
  </sheetData>
  <mergeCells count="1">
    <mergeCell ref="B2:C2"/>
  </mergeCells>
  <printOptions horizontalCentered="1" gridLines="1"/>
  <pageMargins left="0.75" right="0.75" top="1" bottom="1" header="0.511811023622047" footer="0.511811023622047"/>
  <pageSetup scale="61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26"/>
  <sheetViews>
    <sheetView showGridLines="0" zoomScaleNormal="100" workbookViewId="0">
      <pane xSplit="3" ySplit="4" topLeftCell="D7" activePane="bottomRight" state="frozen"/>
      <selection pane="topRight" activeCell="D1" sqref="D1"/>
      <selection pane="bottomLeft" activeCell="A5" sqref="A5"/>
      <selection pane="bottomRight" activeCell="M11" sqref="M11"/>
    </sheetView>
  </sheetViews>
  <sheetFormatPr defaultColWidth="8.7109375" defaultRowHeight="15" x14ac:dyDescent="0.25"/>
  <cols>
    <col min="1" max="1" width="1.5703125" customWidth="1"/>
    <col min="2" max="2" width="28" customWidth="1"/>
    <col min="3" max="9" width="22" customWidth="1"/>
  </cols>
  <sheetData>
    <row r="2" spans="2:9" ht="24" customHeight="1" x14ac:dyDescent="0.25">
      <c r="B2" s="108" t="s">
        <v>136</v>
      </c>
      <c r="C2" s="108"/>
      <c r="D2" s="108"/>
      <c r="E2" s="108"/>
      <c r="F2" s="108"/>
      <c r="G2" s="108"/>
      <c r="H2" s="108"/>
      <c r="I2" s="108"/>
    </row>
    <row r="4" spans="2:9" ht="36" customHeight="1" x14ac:dyDescent="0.25">
      <c r="B4" s="9" t="s">
        <v>137</v>
      </c>
      <c r="C4" s="27" t="s">
        <v>138</v>
      </c>
      <c r="D4" s="28" t="s">
        <v>139</v>
      </c>
      <c r="E4" s="28" t="s">
        <v>140</v>
      </c>
      <c r="F4" s="28" t="s">
        <v>141</v>
      </c>
      <c r="G4" s="28" t="s">
        <v>142</v>
      </c>
      <c r="H4" s="28" t="s">
        <v>143</v>
      </c>
      <c r="I4" s="28" t="s">
        <v>144</v>
      </c>
    </row>
    <row r="5" spans="2:9" ht="23.25" customHeight="1" x14ac:dyDescent="0.25">
      <c r="B5" s="1" t="s">
        <v>145</v>
      </c>
      <c r="C5" s="29">
        <v>4</v>
      </c>
      <c r="D5" s="30">
        <v>4</v>
      </c>
      <c r="E5" s="30">
        <v>1</v>
      </c>
      <c r="F5" s="30">
        <v>1</v>
      </c>
      <c r="G5" s="30">
        <v>2</v>
      </c>
      <c r="H5" s="30">
        <v>2</v>
      </c>
      <c r="I5" s="30">
        <v>2</v>
      </c>
    </row>
    <row r="6" spans="2:9" ht="15" customHeight="1" x14ac:dyDescent="0.25">
      <c r="B6" s="1" t="s">
        <v>146</v>
      </c>
      <c r="C6" s="29">
        <v>4</v>
      </c>
      <c r="D6" s="30">
        <v>4</v>
      </c>
      <c r="E6" s="30">
        <v>4</v>
      </c>
      <c r="F6" s="30">
        <v>2</v>
      </c>
      <c r="G6" s="30">
        <v>1</v>
      </c>
      <c r="H6" s="30">
        <v>1</v>
      </c>
      <c r="I6" s="30">
        <v>0</v>
      </c>
    </row>
    <row r="7" spans="2:9" ht="15" customHeight="1" x14ac:dyDescent="0.25">
      <c r="B7" s="1" t="s">
        <v>147</v>
      </c>
      <c r="C7" s="29">
        <v>4</v>
      </c>
      <c r="D7" s="30">
        <v>4</v>
      </c>
      <c r="E7" s="30">
        <v>3</v>
      </c>
      <c r="F7" s="30">
        <v>2</v>
      </c>
      <c r="G7" s="30">
        <v>1</v>
      </c>
      <c r="H7" s="30">
        <v>1</v>
      </c>
      <c r="I7" s="30">
        <v>0</v>
      </c>
    </row>
    <row r="8" spans="2:9" ht="15" customHeight="1" x14ac:dyDescent="0.25">
      <c r="B8" s="1" t="s">
        <v>148</v>
      </c>
      <c r="C8" s="29">
        <v>3</v>
      </c>
      <c r="D8" s="30">
        <v>3</v>
      </c>
      <c r="E8" s="30">
        <v>1</v>
      </c>
      <c r="F8" s="30">
        <v>4</v>
      </c>
      <c r="G8" s="30">
        <v>1</v>
      </c>
      <c r="H8" s="30">
        <v>0</v>
      </c>
      <c r="I8" s="30">
        <v>1</v>
      </c>
    </row>
    <row r="9" spans="2:9" ht="15" customHeight="1" x14ac:dyDescent="0.25">
      <c r="B9" s="1" t="s">
        <v>149</v>
      </c>
      <c r="C9" s="29">
        <v>3</v>
      </c>
      <c r="D9" s="30">
        <v>4</v>
      </c>
      <c r="E9" s="30">
        <v>0</v>
      </c>
      <c r="F9" s="30">
        <v>0</v>
      </c>
      <c r="G9" s="30">
        <v>4</v>
      </c>
      <c r="H9" s="30">
        <v>0</v>
      </c>
      <c r="I9" s="30">
        <v>0</v>
      </c>
    </row>
    <row r="10" spans="2:9" ht="15" customHeight="1" x14ac:dyDescent="0.25">
      <c r="B10" s="1" t="s">
        <v>150</v>
      </c>
      <c r="C10" s="29">
        <v>3</v>
      </c>
      <c r="D10" s="30">
        <v>2</v>
      </c>
      <c r="E10" s="30">
        <v>0</v>
      </c>
      <c r="F10" s="30">
        <v>0</v>
      </c>
      <c r="G10" s="30">
        <v>1</v>
      </c>
      <c r="H10" s="30">
        <v>4</v>
      </c>
      <c r="I10" s="30">
        <v>0</v>
      </c>
    </row>
    <row r="11" spans="2:9" ht="15" customHeight="1" x14ac:dyDescent="0.25">
      <c r="B11" s="1" t="s">
        <v>151</v>
      </c>
      <c r="C11" s="29">
        <v>4</v>
      </c>
      <c r="D11" s="30">
        <v>3</v>
      </c>
      <c r="E11" s="30">
        <v>1</v>
      </c>
      <c r="F11" s="30">
        <v>2</v>
      </c>
      <c r="G11" s="30">
        <v>2</v>
      </c>
      <c r="H11" s="30">
        <v>2</v>
      </c>
      <c r="I11" s="30">
        <v>4</v>
      </c>
    </row>
    <row r="12" spans="2:9" ht="15" customHeight="1" x14ac:dyDescent="0.25">
      <c r="B12" s="1" t="s">
        <v>152</v>
      </c>
      <c r="C12" s="29">
        <v>4</v>
      </c>
      <c r="D12" s="30">
        <v>2</v>
      </c>
      <c r="E12" s="30">
        <v>1</v>
      </c>
      <c r="F12" s="30">
        <v>1</v>
      </c>
      <c r="G12" s="30">
        <v>1</v>
      </c>
      <c r="H12" s="30">
        <v>1</v>
      </c>
      <c r="I12" s="30">
        <v>2</v>
      </c>
    </row>
    <row r="13" spans="2:9" ht="15" customHeight="1" x14ac:dyDescent="0.25">
      <c r="B13" s="1" t="s">
        <v>153</v>
      </c>
      <c r="C13" s="29">
        <v>4</v>
      </c>
      <c r="D13" s="30">
        <v>1</v>
      </c>
      <c r="E13" s="30">
        <v>2</v>
      </c>
      <c r="F13" s="30">
        <v>2</v>
      </c>
      <c r="G13" s="30">
        <v>1</v>
      </c>
      <c r="H13" s="30">
        <v>2</v>
      </c>
      <c r="I13" s="30">
        <v>3</v>
      </c>
    </row>
    <row r="14" spans="2:9" ht="15" customHeight="1" x14ac:dyDescent="0.25">
      <c r="B14" s="1" t="s">
        <v>154</v>
      </c>
      <c r="C14" s="29">
        <v>4</v>
      </c>
      <c r="D14" s="30">
        <v>1</v>
      </c>
      <c r="E14" s="30">
        <v>3</v>
      </c>
      <c r="F14" s="30">
        <v>3</v>
      </c>
      <c r="G14" s="30">
        <v>2</v>
      </c>
      <c r="H14" s="30">
        <v>3</v>
      </c>
      <c r="I14" s="30">
        <v>4</v>
      </c>
    </row>
    <row r="15" spans="2:9" ht="23.25" customHeight="1" x14ac:dyDescent="0.25">
      <c r="B15" s="1" t="s">
        <v>155</v>
      </c>
      <c r="C15" s="29">
        <v>3</v>
      </c>
      <c r="D15" s="30">
        <v>4</v>
      </c>
      <c r="E15" s="30">
        <v>3</v>
      </c>
      <c r="F15" s="30">
        <v>2</v>
      </c>
      <c r="G15" s="30">
        <v>3</v>
      </c>
      <c r="H15" s="30">
        <v>2</v>
      </c>
      <c r="I15" s="30">
        <v>1</v>
      </c>
    </row>
    <row r="16" spans="2:9" ht="15" customHeight="1" x14ac:dyDescent="0.25">
      <c r="B16" s="1" t="s">
        <v>156</v>
      </c>
      <c r="C16" s="29">
        <v>3</v>
      </c>
      <c r="D16" s="30">
        <v>4</v>
      </c>
      <c r="E16" s="30">
        <v>3</v>
      </c>
      <c r="F16" s="30">
        <v>2</v>
      </c>
      <c r="G16" s="30">
        <v>3</v>
      </c>
      <c r="H16" s="30">
        <v>2</v>
      </c>
      <c r="I16" s="30">
        <v>1</v>
      </c>
    </row>
    <row r="17" spans="2:9" ht="15" customHeight="1" x14ac:dyDescent="0.25">
      <c r="B17" s="1" t="s">
        <v>157</v>
      </c>
      <c r="C17" s="29">
        <v>4</v>
      </c>
      <c r="D17" s="30">
        <v>2</v>
      </c>
      <c r="E17" s="30">
        <v>1</v>
      </c>
      <c r="F17" s="30">
        <v>2</v>
      </c>
      <c r="G17" s="30">
        <v>2</v>
      </c>
      <c r="H17" s="30">
        <v>2</v>
      </c>
      <c r="I17" s="30">
        <v>4</v>
      </c>
    </row>
    <row r="18" spans="2:9" ht="15" customHeight="1" x14ac:dyDescent="0.25">
      <c r="B18" s="1" t="s">
        <v>158</v>
      </c>
      <c r="C18" s="29">
        <v>4</v>
      </c>
      <c r="D18" s="30">
        <v>2</v>
      </c>
      <c r="E18" s="30">
        <v>3</v>
      </c>
      <c r="F18" s="30">
        <v>3</v>
      </c>
      <c r="G18" s="30">
        <v>2</v>
      </c>
      <c r="H18" s="30">
        <v>3</v>
      </c>
      <c r="I18" s="30">
        <v>3</v>
      </c>
    </row>
    <row r="19" spans="2:9" ht="15" customHeight="1" x14ac:dyDescent="0.25">
      <c r="B19" s="1" t="s">
        <v>159</v>
      </c>
      <c r="C19" s="29">
        <v>4</v>
      </c>
      <c r="D19" s="30">
        <v>2</v>
      </c>
      <c r="E19" s="30">
        <v>3</v>
      </c>
      <c r="F19" s="30">
        <v>3</v>
      </c>
      <c r="G19" s="30">
        <v>1</v>
      </c>
      <c r="H19" s="30">
        <v>2</v>
      </c>
      <c r="I19" s="30">
        <v>3</v>
      </c>
    </row>
    <row r="20" spans="2:9" s="31" customFormat="1" ht="15" customHeight="1" x14ac:dyDescent="0.25">
      <c r="B20" s="32" t="s">
        <v>160</v>
      </c>
      <c r="C20" s="33">
        <f t="shared" ref="C20:I20" si="0">SUM(C5:C19)</f>
        <v>55</v>
      </c>
      <c r="D20" s="33">
        <f t="shared" si="0"/>
        <v>42</v>
      </c>
      <c r="E20" s="33">
        <f t="shared" si="0"/>
        <v>29</v>
      </c>
      <c r="F20" s="33">
        <f t="shared" si="0"/>
        <v>29</v>
      </c>
      <c r="G20" s="33">
        <f t="shared" si="0"/>
        <v>27</v>
      </c>
      <c r="H20" s="33">
        <f t="shared" si="0"/>
        <v>27</v>
      </c>
      <c r="I20" s="33">
        <f t="shared" si="0"/>
        <v>28</v>
      </c>
    </row>
    <row r="22" spans="2:9" ht="21.75" customHeight="1" x14ac:dyDescent="0.25">
      <c r="B22" s="110" t="s">
        <v>161</v>
      </c>
      <c r="C22" s="110"/>
      <c r="D22" s="110"/>
      <c r="E22" s="110"/>
      <c r="F22" s="110"/>
      <c r="G22" s="110"/>
      <c r="H22" s="110"/>
      <c r="I22" s="110"/>
    </row>
    <row r="23" spans="2:9" ht="42" customHeight="1" x14ac:dyDescent="0.25">
      <c r="B23" s="2" t="s">
        <v>162</v>
      </c>
      <c r="C23" s="111" t="s">
        <v>163</v>
      </c>
      <c r="D23" s="111"/>
      <c r="E23" s="111"/>
      <c r="F23" s="111"/>
      <c r="G23" s="111"/>
      <c r="H23" s="111"/>
      <c r="I23" s="111"/>
    </row>
    <row r="24" spans="2:9" ht="42" customHeight="1" x14ac:dyDescent="0.25">
      <c r="B24" s="2" t="s">
        <v>164</v>
      </c>
      <c r="C24" s="111" t="s">
        <v>165</v>
      </c>
      <c r="D24" s="111"/>
      <c r="E24" s="111"/>
      <c r="F24" s="111"/>
      <c r="G24" s="111"/>
      <c r="H24" s="111"/>
      <c r="I24" s="111"/>
    </row>
    <row r="25" spans="2:9" ht="42" customHeight="1" x14ac:dyDescent="0.25">
      <c r="B25" s="2" t="s">
        <v>166</v>
      </c>
      <c r="C25" s="111" t="s">
        <v>167</v>
      </c>
      <c r="D25" s="111"/>
      <c r="E25" s="111"/>
      <c r="F25" s="111"/>
      <c r="G25" s="111"/>
      <c r="H25" s="111"/>
      <c r="I25" s="111"/>
    </row>
    <row r="26" spans="2:9" ht="42" customHeight="1" x14ac:dyDescent="0.25">
      <c r="B26" s="2" t="s">
        <v>168</v>
      </c>
      <c r="C26" s="111" t="s">
        <v>930</v>
      </c>
      <c r="D26" s="111"/>
      <c r="E26" s="111"/>
      <c r="F26" s="111"/>
      <c r="G26" s="111"/>
      <c r="H26" s="111"/>
      <c r="I26" s="111"/>
    </row>
  </sheetData>
  <mergeCells count="6">
    <mergeCell ref="C26:I26"/>
    <mergeCell ref="B2:I2"/>
    <mergeCell ref="B22:I22"/>
    <mergeCell ref="C23:I23"/>
    <mergeCell ref="C24:I24"/>
    <mergeCell ref="C25:I25"/>
  </mergeCells>
  <conditionalFormatting sqref="C5:I19">
    <cfRule type="colorScale" priority="2">
      <colorScale>
        <cfvo type="num" val="0"/>
        <cfvo type="num" val="2"/>
        <cfvo type="num" val="4"/>
        <color rgb="FFF8696B"/>
        <color rgb="FFFFEB84"/>
        <color rgb="FF63BE7B"/>
      </colorScale>
    </cfRule>
  </conditionalFormatting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M21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25" sqref="F25"/>
    </sheetView>
  </sheetViews>
  <sheetFormatPr defaultColWidth="8.7109375" defaultRowHeight="15" x14ac:dyDescent="0.25"/>
  <cols>
    <col min="1" max="1" width="1.5703125" customWidth="1"/>
    <col min="2" max="2" width="28" customWidth="1"/>
    <col min="3" max="3" width="36" customWidth="1"/>
    <col min="4" max="13" width="13" customWidth="1"/>
  </cols>
  <sheetData>
    <row r="2" spans="2:13" ht="24" customHeight="1" x14ac:dyDescent="0.25">
      <c r="B2" s="108" t="s">
        <v>169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</row>
    <row r="4" spans="2:13" ht="15" customHeight="1" x14ac:dyDescent="0.25">
      <c r="B4" s="9" t="s">
        <v>170</v>
      </c>
      <c r="C4" s="9" t="s">
        <v>171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3" ht="15" customHeight="1" x14ac:dyDescent="0.25">
      <c r="B5" s="11" t="s">
        <v>172</v>
      </c>
      <c r="C5" s="1" t="s">
        <v>173</v>
      </c>
      <c r="D5" s="34" t="s">
        <v>174</v>
      </c>
      <c r="E5" s="35" t="s">
        <v>175</v>
      </c>
      <c r="F5" s="35" t="s">
        <v>175</v>
      </c>
      <c r="G5" s="35" t="s">
        <v>175</v>
      </c>
      <c r="H5" s="36" t="s">
        <v>176</v>
      </c>
      <c r="I5" s="36" t="s">
        <v>176</v>
      </c>
      <c r="J5" s="36" t="s">
        <v>176</v>
      </c>
      <c r="K5" s="36" t="s">
        <v>176</v>
      </c>
      <c r="L5" s="36" t="s">
        <v>176</v>
      </c>
      <c r="M5" s="36" t="s">
        <v>176</v>
      </c>
    </row>
    <row r="6" spans="2:13" ht="15" customHeight="1" x14ac:dyDescent="0.25">
      <c r="B6" s="11" t="s">
        <v>177</v>
      </c>
      <c r="C6" s="1" t="s">
        <v>173</v>
      </c>
      <c r="D6" s="34" t="s">
        <v>174</v>
      </c>
      <c r="E6" s="35" t="s">
        <v>175</v>
      </c>
      <c r="F6" s="35" t="s">
        <v>175</v>
      </c>
      <c r="G6" s="35" t="s">
        <v>175</v>
      </c>
      <c r="H6" s="36" t="s">
        <v>176</v>
      </c>
      <c r="I6" s="36" t="s">
        <v>176</v>
      </c>
      <c r="J6" s="36" t="s">
        <v>176</v>
      </c>
      <c r="K6" s="36" t="s">
        <v>176</v>
      </c>
      <c r="L6" s="36" t="s">
        <v>176</v>
      </c>
      <c r="M6" s="36" t="s">
        <v>176</v>
      </c>
    </row>
    <row r="7" spans="2:13" ht="15" customHeight="1" x14ac:dyDescent="0.25">
      <c r="B7" s="11" t="s">
        <v>178</v>
      </c>
      <c r="C7" s="1" t="s">
        <v>179</v>
      </c>
      <c r="D7" s="37" t="s">
        <v>180</v>
      </c>
      <c r="E7" s="34" t="s">
        <v>174</v>
      </c>
      <c r="F7" s="35" t="s">
        <v>175</v>
      </c>
      <c r="G7" s="35" t="s">
        <v>175</v>
      </c>
      <c r="H7" s="35" t="s">
        <v>175</v>
      </c>
      <c r="I7" s="36" t="s">
        <v>176</v>
      </c>
      <c r="J7" s="36" t="s">
        <v>176</v>
      </c>
      <c r="K7" s="36" t="s">
        <v>176</v>
      </c>
      <c r="L7" s="36" t="s">
        <v>176</v>
      </c>
      <c r="M7" s="36" t="s">
        <v>176</v>
      </c>
    </row>
    <row r="8" spans="2:13" ht="15" customHeight="1" x14ac:dyDescent="0.25">
      <c r="B8" s="11" t="s">
        <v>181</v>
      </c>
      <c r="C8" s="1" t="s">
        <v>182</v>
      </c>
      <c r="D8" s="34" t="s">
        <v>174</v>
      </c>
      <c r="E8" s="35" t="s">
        <v>175</v>
      </c>
      <c r="F8" s="35" t="s">
        <v>175</v>
      </c>
      <c r="G8" s="35" t="s">
        <v>175</v>
      </c>
      <c r="H8" s="36" t="s">
        <v>176</v>
      </c>
      <c r="I8" s="36" t="s">
        <v>176</v>
      </c>
      <c r="J8" s="36" t="s">
        <v>176</v>
      </c>
      <c r="K8" s="36" t="s">
        <v>176</v>
      </c>
      <c r="L8" s="36" t="s">
        <v>176</v>
      </c>
      <c r="M8" s="36" t="s">
        <v>176</v>
      </c>
    </row>
    <row r="9" spans="2:13" ht="15" customHeight="1" x14ac:dyDescent="0.25">
      <c r="B9" s="11" t="s">
        <v>183</v>
      </c>
      <c r="C9" s="1" t="s">
        <v>184</v>
      </c>
      <c r="D9" s="37" t="s">
        <v>180</v>
      </c>
      <c r="E9" s="34" t="s">
        <v>174</v>
      </c>
      <c r="F9" s="35" t="s">
        <v>175</v>
      </c>
      <c r="G9" s="35" t="s">
        <v>175</v>
      </c>
      <c r="H9" s="35" t="s">
        <v>175</v>
      </c>
      <c r="I9" s="36" t="s">
        <v>176</v>
      </c>
      <c r="J9" s="36" t="s">
        <v>176</v>
      </c>
      <c r="K9" s="36" t="s">
        <v>176</v>
      </c>
      <c r="L9" s="36" t="s">
        <v>176</v>
      </c>
      <c r="M9" s="36" t="s">
        <v>176</v>
      </c>
    </row>
    <row r="10" spans="2:13" ht="15" customHeight="1" x14ac:dyDescent="0.25">
      <c r="B10" s="11" t="s">
        <v>185</v>
      </c>
      <c r="C10" s="1" t="s">
        <v>186</v>
      </c>
      <c r="D10" s="35" t="s">
        <v>175</v>
      </c>
      <c r="E10" s="35" t="s">
        <v>175</v>
      </c>
      <c r="F10" s="35" t="s">
        <v>175</v>
      </c>
      <c r="G10" s="36" t="s">
        <v>176</v>
      </c>
      <c r="H10" s="36" t="s">
        <v>176</v>
      </c>
      <c r="I10" s="36" t="s">
        <v>176</v>
      </c>
      <c r="J10" s="36" t="s">
        <v>176</v>
      </c>
      <c r="K10" s="36" t="s">
        <v>176</v>
      </c>
      <c r="L10" s="36" t="s">
        <v>176</v>
      </c>
      <c r="M10" s="36" t="s">
        <v>176</v>
      </c>
    </row>
    <row r="11" spans="2:13" ht="15" customHeight="1" x14ac:dyDescent="0.25">
      <c r="B11" s="11" t="s">
        <v>187</v>
      </c>
      <c r="C11" s="1" t="s">
        <v>188</v>
      </c>
      <c r="D11" s="35" t="s">
        <v>175</v>
      </c>
      <c r="E11" s="35" t="s">
        <v>175</v>
      </c>
      <c r="F11" s="35" t="s">
        <v>175</v>
      </c>
      <c r="G11" s="35" t="s">
        <v>175</v>
      </c>
      <c r="H11" s="36" t="s">
        <v>176</v>
      </c>
      <c r="I11" s="36" t="s">
        <v>176</v>
      </c>
      <c r="J11" s="36" t="s">
        <v>176</v>
      </c>
      <c r="K11" s="36" t="s">
        <v>176</v>
      </c>
      <c r="L11" s="36" t="s">
        <v>176</v>
      </c>
      <c r="M11" s="36" t="s">
        <v>176</v>
      </c>
    </row>
    <row r="12" spans="2:13" ht="15" customHeight="1" x14ac:dyDescent="0.25">
      <c r="B12" s="11" t="s">
        <v>189</v>
      </c>
      <c r="C12" s="1" t="s">
        <v>190</v>
      </c>
      <c r="D12" s="37" t="s">
        <v>180</v>
      </c>
      <c r="E12" s="34" t="s">
        <v>174</v>
      </c>
      <c r="F12" s="35" t="s">
        <v>175</v>
      </c>
      <c r="G12" s="35" t="s">
        <v>175</v>
      </c>
      <c r="H12" s="35" t="s">
        <v>175</v>
      </c>
      <c r="I12" s="36" t="s">
        <v>176</v>
      </c>
      <c r="J12" s="36" t="s">
        <v>176</v>
      </c>
      <c r="K12" s="36" t="s">
        <v>176</v>
      </c>
      <c r="L12" s="36" t="s">
        <v>176</v>
      </c>
      <c r="M12" s="36" t="s">
        <v>176</v>
      </c>
    </row>
    <row r="13" spans="2:13" ht="15" customHeight="1" x14ac:dyDescent="0.25">
      <c r="B13" s="11" t="s">
        <v>191</v>
      </c>
      <c r="C13" s="1" t="s">
        <v>192</v>
      </c>
      <c r="D13" s="37" t="s">
        <v>180</v>
      </c>
      <c r="E13" s="34" t="s">
        <v>174</v>
      </c>
      <c r="F13" s="35" t="s">
        <v>175</v>
      </c>
      <c r="G13" s="35" t="s">
        <v>175</v>
      </c>
      <c r="H13" s="35" t="s">
        <v>175</v>
      </c>
      <c r="I13" s="36" t="s">
        <v>176</v>
      </c>
      <c r="J13" s="36" t="s">
        <v>176</v>
      </c>
      <c r="K13" s="36" t="s">
        <v>176</v>
      </c>
      <c r="L13" s="36" t="s">
        <v>176</v>
      </c>
      <c r="M13" s="36" t="s">
        <v>176</v>
      </c>
    </row>
    <row r="14" spans="2:13" ht="15" customHeight="1" x14ac:dyDescent="0.25">
      <c r="B14" s="11" t="s">
        <v>193</v>
      </c>
      <c r="C14" s="1" t="s">
        <v>194</v>
      </c>
      <c r="D14" s="38" t="s">
        <v>195</v>
      </c>
      <c r="E14" s="37" t="s">
        <v>180</v>
      </c>
      <c r="F14" s="34" t="s">
        <v>174</v>
      </c>
      <c r="G14" s="35" t="s">
        <v>175</v>
      </c>
      <c r="H14" s="35" t="s">
        <v>175</v>
      </c>
      <c r="I14" s="35" t="s">
        <v>175</v>
      </c>
      <c r="J14" s="36" t="s">
        <v>176</v>
      </c>
      <c r="K14" s="36" t="s">
        <v>176</v>
      </c>
      <c r="L14" s="36" t="s">
        <v>176</v>
      </c>
      <c r="M14" s="36" t="s">
        <v>176</v>
      </c>
    </row>
    <row r="15" spans="2:13" ht="15" customHeight="1" x14ac:dyDescent="0.25">
      <c r="B15" s="11" t="s">
        <v>196</v>
      </c>
      <c r="C15" s="1" t="s">
        <v>197</v>
      </c>
      <c r="D15" s="38" t="s">
        <v>195</v>
      </c>
      <c r="E15" s="37" t="s">
        <v>180</v>
      </c>
      <c r="F15" s="37" t="s">
        <v>180</v>
      </c>
      <c r="G15" s="34" t="s">
        <v>174</v>
      </c>
      <c r="H15" s="35" t="s">
        <v>175</v>
      </c>
      <c r="I15" s="35" t="s">
        <v>175</v>
      </c>
      <c r="J15" s="35" t="s">
        <v>175</v>
      </c>
      <c r="K15" s="36" t="s">
        <v>176</v>
      </c>
      <c r="L15" s="36" t="s">
        <v>176</v>
      </c>
      <c r="M15" s="36" t="s">
        <v>176</v>
      </c>
    </row>
    <row r="16" spans="2:13" ht="15" customHeight="1" x14ac:dyDescent="0.25">
      <c r="B16" s="11" t="s">
        <v>198</v>
      </c>
      <c r="C16" s="1" t="s">
        <v>199</v>
      </c>
      <c r="D16" s="35" t="s">
        <v>175</v>
      </c>
      <c r="E16" s="35" t="s">
        <v>175</v>
      </c>
      <c r="F16" s="37" t="s">
        <v>180</v>
      </c>
      <c r="G16" s="34" t="s">
        <v>174</v>
      </c>
      <c r="H16" s="35" t="s">
        <v>175</v>
      </c>
      <c r="I16" s="35" t="s">
        <v>175</v>
      </c>
      <c r="J16" s="35" t="s">
        <v>175</v>
      </c>
      <c r="K16" s="35" t="s">
        <v>175</v>
      </c>
      <c r="L16" s="35" t="s">
        <v>175</v>
      </c>
      <c r="M16" s="35" t="s">
        <v>175</v>
      </c>
    </row>
    <row r="17" spans="2:13" ht="15" customHeight="1" x14ac:dyDescent="0.25">
      <c r="B17" s="11" t="s">
        <v>200</v>
      </c>
      <c r="C17" s="1" t="s">
        <v>201</v>
      </c>
      <c r="D17" s="35" t="s">
        <v>175</v>
      </c>
      <c r="E17" s="35" t="s">
        <v>175</v>
      </c>
      <c r="F17" s="35" t="s">
        <v>175</v>
      </c>
      <c r="G17" s="39"/>
      <c r="H17" s="35" t="s">
        <v>175</v>
      </c>
      <c r="I17" s="39"/>
      <c r="J17" s="35" t="s">
        <v>175</v>
      </c>
      <c r="K17" s="39"/>
      <c r="L17" s="39"/>
      <c r="M17" s="39"/>
    </row>
    <row r="18" spans="2:13" ht="15" customHeight="1" x14ac:dyDescent="0.25">
      <c r="B18" s="11" t="s">
        <v>202</v>
      </c>
      <c r="C18" s="1" t="s">
        <v>203</v>
      </c>
      <c r="D18" s="38" t="s">
        <v>195</v>
      </c>
      <c r="E18" s="37" t="s">
        <v>180</v>
      </c>
      <c r="F18" s="34" t="s">
        <v>174</v>
      </c>
      <c r="G18" s="35" t="s">
        <v>175</v>
      </c>
      <c r="H18" s="35" t="s">
        <v>175</v>
      </c>
      <c r="I18" s="36" t="s">
        <v>176</v>
      </c>
      <c r="J18" s="36" t="s">
        <v>176</v>
      </c>
      <c r="K18" s="36" t="s">
        <v>176</v>
      </c>
      <c r="L18" s="36" t="s">
        <v>176</v>
      </c>
      <c r="M18" s="36" t="s">
        <v>176</v>
      </c>
    </row>
    <row r="20" spans="2:13" ht="21.75" customHeight="1" x14ac:dyDescent="0.25">
      <c r="B20" s="110" t="s">
        <v>204</v>
      </c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</row>
    <row r="21" spans="2:13" ht="21.75" customHeight="1" x14ac:dyDescent="0.25">
      <c r="B21" s="38" t="s">
        <v>195</v>
      </c>
      <c r="C21" s="1" t="s">
        <v>205</v>
      </c>
      <c r="D21" s="37" t="s">
        <v>180</v>
      </c>
      <c r="E21" s="1" t="s">
        <v>206</v>
      </c>
      <c r="F21" s="34" t="s">
        <v>174</v>
      </c>
      <c r="G21" s="1" t="s">
        <v>207</v>
      </c>
      <c r="H21" s="35" t="s">
        <v>175</v>
      </c>
      <c r="I21" s="1" t="s">
        <v>208</v>
      </c>
      <c r="J21" s="36" t="s">
        <v>176</v>
      </c>
      <c r="K21" s="1" t="s">
        <v>209</v>
      </c>
    </row>
  </sheetData>
  <mergeCells count="2">
    <mergeCell ref="B2:M2"/>
    <mergeCell ref="B20:M20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N25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6" sqref="F16"/>
    </sheetView>
  </sheetViews>
  <sheetFormatPr defaultColWidth="8.7109375" defaultRowHeight="15" x14ac:dyDescent="0.25"/>
  <cols>
    <col min="1" max="1" width="1.5703125" customWidth="1"/>
    <col min="2" max="2" width="36" customWidth="1"/>
    <col min="3" max="3" width="56" customWidth="1"/>
    <col min="4" max="13" width="13" customWidth="1"/>
  </cols>
  <sheetData>
    <row r="2" spans="2:14" ht="24" customHeight="1" x14ac:dyDescent="0.25">
      <c r="B2" s="108" t="s">
        <v>210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4" spans="2:14" ht="15" customHeight="1" x14ac:dyDescent="0.25">
      <c r="B4" s="9" t="s">
        <v>211</v>
      </c>
      <c r="C4" s="9" t="s">
        <v>212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4" ht="21.75" customHeight="1" x14ac:dyDescent="0.25">
      <c r="B5" s="110" t="s">
        <v>213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</row>
    <row r="6" spans="2:14" ht="23.25" customHeight="1" x14ac:dyDescent="0.25">
      <c r="B6" s="2" t="s">
        <v>214</v>
      </c>
      <c r="C6" s="1" t="s">
        <v>215</v>
      </c>
      <c r="D6" s="40">
        <v>45</v>
      </c>
      <c r="E6" s="40">
        <v>45</v>
      </c>
      <c r="F6" s="40">
        <v>25</v>
      </c>
      <c r="G6" s="40">
        <v>18</v>
      </c>
      <c r="H6" s="40">
        <v>9</v>
      </c>
      <c r="I6" s="40">
        <v>4.5</v>
      </c>
      <c r="J6" s="40">
        <v>2.5</v>
      </c>
      <c r="K6" s="40">
        <v>2.5</v>
      </c>
      <c r="L6" s="40">
        <v>2.5</v>
      </c>
      <c r="M6" s="40">
        <v>0</v>
      </c>
    </row>
    <row r="7" spans="2:14" ht="23.25" customHeight="1" x14ac:dyDescent="0.25">
      <c r="B7" s="2" t="s">
        <v>216</v>
      </c>
      <c r="C7" s="1" t="s">
        <v>217</v>
      </c>
      <c r="D7" s="40">
        <v>28</v>
      </c>
      <c r="E7" s="40">
        <v>30</v>
      </c>
      <c r="F7" s="40">
        <v>13</v>
      </c>
      <c r="G7" s="40">
        <v>8</v>
      </c>
      <c r="H7" s="40">
        <v>5</v>
      </c>
      <c r="I7" s="40">
        <v>3</v>
      </c>
      <c r="J7" s="40">
        <v>1.5</v>
      </c>
      <c r="K7" s="40">
        <v>1.5</v>
      </c>
      <c r="L7" s="40">
        <v>0</v>
      </c>
      <c r="M7" s="40">
        <v>0</v>
      </c>
    </row>
    <row r="8" spans="2:14" ht="23.25" customHeight="1" x14ac:dyDescent="0.25">
      <c r="B8" s="2" t="s">
        <v>218</v>
      </c>
      <c r="C8" s="1" t="s">
        <v>219</v>
      </c>
      <c r="D8" s="40">
        <v>12</v>
      </c>
      <c r="E8" s="40">
        <v>28</v>
      </c>
      <c r="F8" s="40">
        <v>17</v>
      </c>
      <c r="G8" s="40">
        <v>12</v>
      </c>
      <c r="H8" s="40">
        <v>7</v>
      </c>
      <c r="I8" s="40">
        <v>3.5</v>
      </c>
      <c r="J8" s="40">
        <v>2.5</v>
      </c>
      <c r="K8" s="40">
        <v>1.3</v>
      </c>
      <c r="L8" s="40">
        <v>1.3</v>
      </c>
      <c r="M8" s="40">
        <v>1.3</v>
      </c>
    </row>
    <row r="9" spans="2:14" ht="23.25" customHeight="1" x14ac:dyDescent="0.25">
      <c r="B9" s="2" t="s">
        <v>220</v>
      </c>
      <c r="C9" s="1" t="s">
        <v>221</v>
      </c>
      <c r="D9" s="40">
        <v>6</v>
      </c>
      <c r="E9" s="40">
        <v>42</v>
      </c>
      <c r="F9" s="40">
        <v>17</v>
      </c>
      <c r="G9" s="40">
        <v>9</v>
      </c>
      <c r="H9" s="40">
        <v>5</v>
      </c>
      <c r="I9" s="40">
        <v>2.5</v>
      </c>
      <c r="J9" s="40">
        <v>1.3</v>
      </c>
      <c r="K9" s="40">
        <v>1.3</v>
      </c>
      <c r="L9" s="40">
        <v>1.3</v>
      </c>
      <c r="M9" s="40">
        <v>0</v>
      </c>
    </row>
    <row r="10" spans="2:14" ht="23.25" customHeight="1" x14ac:dyDescent="0.25">
      <c r="B10" s="2" t="s">
        <v>222</v>
      </c>
      <c r="C10" s="1" t="s">
        <v>223</v>
      </c>
      <c r="D10" s="40">
        <v>10</v>
      </c>
      <c r="E10" s="40">
        <v>65</v>
      </c>
      <c r="F10" s="40">
        <v>35</v>
      </c>
      <c r="G10" s="40">
        <v>22</v>
      </c>
      <c r="H10" s="40">
        <v>12</v>
      </c>
      <c r="I10" s="40">
        <v>7</v>
      </c>
      <c r="J10" s="40">
        <v>3.5</v>
      </c>
      <c r="K10" s="40">
        <v>1.8</v>
      </c>
      <c r="L10" s="40">
        <v>1.8</v>
      </c>
      <c r="M10" s="40">
        <v>1.8</v>
      </c>
    </row>
    <row r="11" spans="2:14" ht="15" customHeight="1" x14ac:dyDescent="0.25">
      <c r="B11" s="41" t="s">
        <v>224</v>
      </c>
      <c r="C11" s="42" t="s">
        <v>225</v>
      </c>
      <c r="D11" s="43">
        <f t="shared" ref="D11:M11" si="0">SUM(D6:D10)</f>
        <v>101</v>
      </c>
      <c r="E11" s="43">
        <f t="shared" si="0"/>
        <v>210</v>
      </c>
      <c r="F11" s="43">
        <f t="shared" si="0"/>
        <v>107</v>
      </c>
      <c r="G11" s="43">
        <f t="shared" si="0"/>
        <v>69</v>
      </c>
      <c r="H11" s="43">
        <f t="shared" si="0"/>
        <v>38</v>
      </c>
      <c r="I11" s="43">
        <f t="shared" si="0"/>
        <v>20.5</v>
      </c>
      <c r="J11" s="43">
        <f t="shared" si="0"/>
        <v>11.3</v>
      </c>
      <c r="K11" s="43">
        <f t="shared" si="0"/>
        <v>8.4</v>
      </c>
      <c r="L11" s="43">
        <f t="shared" si="0"/>
        <v>6.8999999999999995</v>
      </c>
      <c r="M11" s="43">
        <f t="shared" si="0"/>
        <v>3.1</v>
      </c>
    </row>
    <row r="12" spans="2:14" ht="15" customHeight="1" x14ac:dyDescent="0.25">
      <c r="B12" s="41" t="s">
        <v>226</v>
      </c>
      <c r="D12" s="12">
        <f>D11</f>
        <v>101</v>
      </c>
      <c r="E12" s="12">
        <f t="shared" ref="E12:M12" si="1">D12+E11</f>
        <v>311</v>
      </c>
      <c r="F12" s="12">
        <f t="shared" si="1"/>
        <v>418</v>
      </c>
      <c r="G12" s="12">
        <f t="shared" si="1"/>
        <v>487</v>
      </c>
      <c r="H12" s="12">
        <f t="shared" si="1"/>
        <v>525</v>
      </c>
      <c r="I12" s="12">
        <f t="shared" si="1"/>
        <v>545.5</v>
      </c>
      <c r="J12" s="12">
        <f t="shared" si="1"/>
        <v>556.79999999999995</v>
      </c>
      <c r="K12" s="12">
        <f t="shared" si="1"/>
        <v>565.19999999999993</v>
      </c>
      <c r="L12" s="12">
        <f t="shared" si="1"/>
        <v>572.09999999999991</v>
      </c>
      <c r="M12" s="12">
        <f t="shared" si="1"/>
        <v>575.19999999999993</v>
      </c>
    </row>
    <row r="14" spans="2:14" ht="21.75" customHeight="1" x14ac:dyDescent="0.25">
      <c r="B14" s="110" t="s">
        <v>227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</row>
    <row r="15" spans="2:14" ht="23.25" customHeight="1" x14ac:dyDescent="0.25">
      <c r="B15" s="1" t="s">
        <v>214</v>
      </c>
      <c r="C15" s="42" t="s">
        <v>228</v>
      </c>
      <c r="D15" s="44">
        <v>0.55000000000000004</v>
      </c>
      <c r="E15" s="44">
        <v>0.7</v>
      </c>
      <c r="F15" s="44">
        <v>0.82</v>
      </c>
      <c r="G15" s="44">
        <v>0.9</v>
      </c>
      <c r="H15" s="44">
        <v>0.94</v>
      </c>
      <c r="I15" s="44">
        <v>0.96</v>
      </c>
      <c r="J15" s="44">
        <v>0.97</v>
      </c>
      <c r="K15" s="44">
        <v>0.98</v>
      </c>
      <c r="L15" s="44">
        <v>0.99</v>
      </c>
      <c r="M15" s="44">
        <v>0.99</v>
      </c>
    </row>
    <row r="16" spans="2:14" ht="23.25" customHeight="1" x14ac:dyDescent="0.25">
      <c r="B16" s="1" t="s">
        <v>216</v>
      </c>
      <c r="C16" s="42" t="s">
        <v>228</v>
      </c>
      <c r="D16" s="44">
        <v>0.6</v>
      </c>
      <c r="E16" s="44">
        <v>0.75</v>
      </c>
      <c r="F16" s="44">
        <v>0.85</v>
      </c>
      <c r="G16" s="44">
        <v>0.91</v>
      </c>
      <c r="H16" s="44">
        <v>0.95</v>
      </c>
      <c r="I16" s="44">
        <v>0.97</v>
      </c>
      <c r="J16" s="44">
        <v>0.98</v>
      </c>
      <c r="K16" s="44">
        <v>0.99</v>
      </c>
      <c r="L16" s="44">
        <v>0.99</v>
      </c>
      <c r="M16" s="44">
        <v>0.99</v>
      </c>
    </row>
    <row r="17" spans="2:14" ht="23.25" customHeight="1" x14ac:dyDescent="0.25">
      <c r="B17" s="1" t="s">
        <v>218</v>
      </c>
      <c r="C17" s="42" t="s">
        <v>228</v>
      </c>
      <c r="D17" s="44">
        <v>0.4</v>
      </c>
      <c r="E17" s="44">
        <v>0.6</v>
      </c>
      <c r="F17" s="44">
        <v>0.75</v>
      </c>
      <c r="G17" s="44">
        <v>0.85</v>
      </c>
      <c r="H17" s="44">
        <v>0.91</v>
      </c>
      <c r="I17" s="44">
        <v>0.94</v>
      </c>
      <c r="J17" s="44">
        <v>0.96</v>
      </c>
      <c r="K17" s="44">
        <v>0.97</v>
      </c>
      <c r="L17" s="44">
        <v>0.98</v>
      </c>
      <c r="M17" s="44">
        <v>0.99</v>
      </c>
    </row>
    <row r="18" spans="2:14" ht="23.25" customHeight="1" x14ac:dyDescent="0.25">
      <c r="B18" s="1" t="s">
        <v>220</v>
      </c>
      <c r="C18" s="42" t="s">
        <v>228</v>
      </c>
      <c r="D18" s="44">
        <v>0.5</v>
      </c>
      <c r="E18" s="44">
        <v>0.7</v>
      </c>
      <c r="F18" s="44">
        <v>0.83</v>
      </c>
      <c r="G18" s="44">
        <v>0.9</v>
      </c>
      <c r="H18" s="44">
        <v>0.94</v>
      </c>
      <c r="I18" s="44">
        <v>0.96</v>
      </c>
      <c r="J18" s="44">
        <v>0.97</v>
      </c>
      <c r="K18" s="44">
        <v>0.98</v>
      </c>
      <c r="L18" s="44">
        <v>0.99</v>
      </c>
      <c r="M18" s="44">
        <v>0.99</v>
      </c>
    </row>
    <row r="19" spans="2:14" ht="23.25" customHeight="1" x14ac:dyDescent="0.25">
      <c r="B19" s="1" t="s">
        <v>222</v>
      </c>
      <c r="C19" s="42" t="s">
        <v>228</v>
      </c>
      <c r="D19" s="44">
        <v>0.25</v>
      </c>
      <c r="E19" s="44">
        <v>0.5</v>
      </c>
      <c r="F19" s="44">
        <v>0.7</v>
      </c>
      <c r="G19" s="44">
        <v>0.83</v>
      </c>
      <c r="H19" s="44">
        <v>0.9</v>
      </c>
      <c r="I19" s="44">
        <v>0.94</v>
      </c>
      <c r="J19" s="44">
        <v>0.96</v>
      </c>
      <c r="K19" s="44">
        <v>0.97</v>
      </c>
      <c r="L19" s="44">
        <v>0.98</v>
      </c>
      <c r="M19" s="44">
        <v>0.99</v>
      </c>
    </row>
    <row r="20" spans="2:14" ht="21.75" customHeight="1" x14ac:dyDescent="0.25">
      <c r="B20" s="110" t="s">
        <v>229</v>
      </c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</row>
    <row r="21" spans="2:14" ht="23.25" customHeight="1" x14ac:dyDescent="0.25">
      <c r="B21" s="42" t="s">
        <v>230</v>
      </c>
      <c r="D21" s="16">
        <f>MIN(1,D15*Assumptions!$C$26)</f>
        <v>0.55000000000000004</v>
      </c>
      <c r="E21" s="16">
        <f>MIN(1,E15*Assumptions!$C$26)</f>
        <v>0.7</v>
      </c>
      <c r="F21" s="16">
        <f>MIN(1,F15*Assumptions!$C$26)</f>
        <v>0.82</v>
      </c>
      <c r="G21" s="16">
        <f>MIN(1,G15*Assumptions!$C$26)</f>
        <v>0.9</v>
      </c>
      <c r="H21" s="16">
        <f>MIN(1,H15*Assumptions!$C$26)</f>
        <v>0.94</v>
      </c>
      <c r="I21" s="16">
        <f>MIN(1,I15*Assumptions!$C$26)</f>
        <v>0.96</v>
      </c>
      <c r="J21" s="16">
        <f>MIN(1,J15*Assumptions!$C$26)</f>
        <v>0.97</v>
      </c>
      <c r="K21" s="16">
        <f>MIN(1,K15*Assumptions!$C$26)</f>
        <v>0.98</v>
      </c>
      <c r="L21" s="16">
        <f>MIN(1,L15*Assumptions!$C$26)</f>
        <v>0.99</v>
      </c>
      <c r="M21" s="16">
        <f>MIN(1,M15*Assumptions!$C$26)</f>
        <v>0.99</v>
      </c>
    </row>
    <row r="22" spans="2:14" ht="23.25" customHeight="1" x14ac:dyDescent="0.25">
      <c r="B22" s="42" t="s">
        <v>231</v>
      </c>
      <c r="D22" s="16">
        <f>MIN(1,D16*Assumptions!$C$26)</f>
        <v>0.6</v>
      </c>
      <c r="E22" s="16">
        <f>MIN(1,E16*Assumptions!$C$26)</f>
        <v>0.75</v>
      </c>
      <c r="F22" s="16">
        <f>MIN(1,F16*Assumptions!$C$26)</f>
        <v>0.85</v>
      </c>
      <c r="G22" s="16">
        <f>MIN(1,G16*Assumptions!$C$26)</f>
        <v>0.91</v>
      </c>
      <c r="H22" s="16">
        <f>MIN(1,H16*Assumptions!$C$26)</f>
        <v>0.95</v>
      </c>
      <c r="I22" s="16">
        <f>MIN(1,I16*Assumptions!$C$26)</f>
        <v>0.97</v>
      </c>
      <c r="J22" s="16">
        <f>MIN(1,J16*Assumptions!$C$26)</f>
        <v>0.98</v>
      </c>
      <c r="K22" s="16">
        <f>MIN(1,K16*Assumptions!$C$26)</f>
        <v>0.99</v>
      </c>
      <c r="L22" s="16">
        <f>MIN(1,L16*Assumptions!$C$26)</f>
        <v>0.99</v>
      </c>
      <c r="M22" s="16">
        <f>MIN(1,M16*Assumptions!$C$26)</f>
        <v>0.99</v>
      </c>
    </row>
    <row r="23" spans="2:14" ht="23.25" customHeight="1" x14ac:dyDescent="0.25">
      <c r="B23" s="42" t="s">
        <v>232</v>
      </c>
      <c r="D23" s="16">
        <f>MIN(1,D17*Assumptions!$C$26)</f>
        <v>0.4</v>
      </c>
      <c r="E23" s="16">
        <f>MIN(1,E17*Assumptions!$C$26)</f>
        <v>0.6</v>
      </c>
      <c r="F23" s="16">
        <f>MIN(1,F17*Assumptions!$C$26)</f>
        <v>0.75</v>
      </c>
      <c r="G23" s="16">
        <f>MIN(1,G17*Assumptions!$C$26)</f>
        <v>0.85</v>
      </c>
      <c r="H23" s="16">
        <f>MIN(1,H17*Assumptions!$C$26)</f>
        <v>0.91</v>
      </c>
      <c r="I23" s="16">
        <f>MIN(1,I17*Assumptions!$C$26)</f>
        <v>0.94</v>
      </c>
      <c r="J23" s="16">
        <f>MIN(1,J17*Assumptions!$C$26)</f>
        <v>0.96</v>
      </c>
      <c r="K23" s="16">
        <f>MIN(1,K17*Assumptions!$C$26)</f>
        <v>0.97</v>
      </c>
      <c r="L23" s="16">
        <f>MIN(1,L17*Assumptions!$C$26)</f>
        <v>0.98</v>
      </c>
      <c r="M23" s="16">
        <f>MIN(1,M17*Assumptions!$C$26)</f>
        <v>0.99</v>
      </c>
    </row>
    <row r="24" spans="2:14" ht="23.25" customHeight="1" x14ac:dyDescent="0.25">
      <c r="B24" s="42" t="s">
        <v>233</v>
      </c>
      <c r="D24" s="16">
        <f>MIN(1,D18*Assumptions!$C$26)</f>
        <v>0.5</v>
      </c>
      <c r="E24" s="16">
        <f>MIN(1,E18*Assumptions!$C$26)</f>
        <v>0.7</v>
      </c>
      <c r="F24" s="16">
        <f>MIN(1,F18*Assumptions!$C$26)</f>
        <v>0.83</v>
      </c>
      <c r="G24" s="16">
        <f>MIN(1,G18*Assumptions!$C$26)</f>
        <v>0.9</v>
      </c>
      <c r="H24" s="16">
        <f>MIN(1,H18*Assumptions!$C$26)</f>
        <v>0.94</v>
      </c>
      <c r="I24" s="16">
        <f>MIN(1,I18*Assumptions!$C$26)</f>
        <v>0.96</v>
      </c>
      <c r="J24" s="16">
        <f>MIN(1,J18*Assumptions!$C$26)</f>
        <v>0.97</v>
      </c>
      <c r="K24" s="16">
        <f>MIN(1,K18*Assumptions!$C$26)</f>
        <v>0.98</v>
      </c>
      <c r="L24" s="16">
        <f>MIN(1,L18*Assumptions!$C$26)</f>
        <v>0.99</v>
      </c>
      <c r="M24" s="16">
        <f>MIN(1,M18*Assumptions!$C$26)</f>
        <v>0.99</v>
      </c>
    </row>
    <row r="25" spans="2:14" ht="23.25" customHeight="1" x14ac:dyDescent="0.25">
      <c r="B25" s="42" t="s">
        <v>234</v>
      </c>
      <c r="D25" s="16">
        <f>MIN(1,D19*Assumptions!$C$26)</f>
        <v>0.25</v>
      </c>
      <c r="E25" s="16">
        <f>MIN(1,E19*Assumptions!$C$26)</f>
        <v>0.5</v>
      </c>
      <c r="F25" s="16">
        <f>MIN(1,F19*Assumptions!$C$26)</f>
        <v>0.7</v>
      </c>
      <c r="G25" s="16">
        <f>MIN(1,G19*Assumptions!$C$26)</f>
        <v>0.83</v>
      </c>
      <c r="H25" s="16">
        <f>MIN(1,H19*Assumptions!$C$26)</f>
        <v>0.9</v>
      </c>
      <c r="I25" s="16">
        <f>MIN(1,I19*Assumptions!$C$26)</f>
        <v>0.94</v>
      </c>
      <c r="J25" s="16">
        <f>MIN(1,J19*Assumptions!$C$26)</f>
        <v>0.96</v>
      </c>
      <c r="K25" s="16">
        <f>MIN(1,K19*Assumptions!$C$26)</f>
        <v>0.97</v>
      </c>
      <c r="L25" s="16">
        <f>MIN(1,L19*Assumptions!$C$26)</f>
        <v>0.98</v>
      </c>
      <c r="M25" s="16">
        <f>MIN(1,M19*Assumptions!$C$26)</f>
        <v>0.99</v>
      </c>
    </row>
  </sheetData>
  <mergeCells count="4">
    <mergeCell ref="B2:N2"/>
    <mergeCell ref="B5:N5"/>
    <mergeCell ref="B14:N14"/>
    <mergeCell ref="B20:N20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104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87" sqref="C87"/>
    </sheetView>
  </sheetViews>
  <sheetFormatPr defaultColWidth="8.7109375" defaultRowHeight="15" x14ac:dyDescent="0.25"/>
  <cols>
    <col min="1" max="1" width="2" customWidth="1"/>
    <col min="2" max="2" width="45" customWidth="1"/>
    <col min="3" max="3" width="28" customWidth="1"/>
    <col min="4" max="13" width="12" customWidth="1"/>
  </cols>
  <sheetData>
    <row r="2" spans="2:13" ht="17.25" customHeight="1" x14ac:dyDescent="0.25">
      <c r="B2" s="122" t="s">
        <v>235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spans="2:13" ht="15" customHeight="1" x14ac:dyDescent="0.25">
      <c r="B3" s="45" t="s">
        <v>236</v>
      </c>
      <c r="C3" s="121" t="s">
        <v>237</v>
      </c>
      <c r="D3" s="121"/>
      <c r="E3" s="121"/>
      <c r="F3" s="121"/>
      <c r="G3" s="121"/>
      <c r="H3" s="121"/>
      <c r="I3" s="121"/>
      <c r="J3" s="121"/>
      <c r="K3" s="121"/>
      <c r="L3" s="121"/>
      <c r="M3" s="121"/>
    </row>
    <row r="5" spans="2:13" ht="15" customHeight="1" x14ac:dyDescent="0.25">
      <c r="B5" s="120" t="s">
        <v>238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</row>
    <row r="6" spans="2:13" ht="15" customHeight="1" x14ac:dyDescent="0.25">
      <c r="B6" s="46" t="s">
        <v>211</v>
      </c>
      <c r="C6" s="46" t="s">
        <v>239</v>
      </c>
      <c r="D6" s="46" t="s">
        <v>30</v>
      </c>
      <c r="E6" s="46" t="s">
        <v>25</v>
      </c>
      <c r="F6" s="46" t="s">
        <v>44</v>
      </c>
      <c r="G6" s="46" t="s">
        <v>39</v>
      </c>
      <c r="H6" s="46" t="s">
        <v>58</v>
      </c>
      <c r="I6" s="46" t="s">
        <v>59</v>
      </c>
      <c r="J6" s="46" t="s">
        <v>60</v>
      </c>
      <c r="K6" s="46" t="s">
        <v>61</v>
      </c>
      <c r="L6" s="46" t="s">
        <v>62</v>
      </c>
      <c r="M6" s="46" t="s">
        <v>63</v>
      </c>
    </row>
    <row r="7" spans="2:13" ht="15" customHeight="1" x14ac:dyDescent="0.25">
      <c r="B7" s="24" t="s">
        <v>240</v>
      </c>
      <c r="C7" s="24" t="str">
        <f>Platform!C6</f>
        <v>X/S/Ku-band T/R modules, GaN PA/LNA, beamforming, antenna design - carried over from ESM, now extended to AESA and C-UAS.</v>
      </c>
      <c r="D7" s="24">
        <f>Platform!D6</f>
        <v>45</v>
      </c>
      <c r="E7" s="24">
        <f>Platform!E6</f>
        <v>45</v>
      </c>
      <c r="F7" s="24">
        <f>Platform!F6</f>
        <v>25</v>
      </c>
      <c r="G7" s="24">
        <f>Platform!G6</f>
        <v>18</v>
      </c>
      <c r="H7" s="24">
        <f>Platform!H6</f>
        <v>9</v>
      </c>
      <c r="I7" s="24">
        <f>Platform!I6</f>
        <v>4.5</v>
      </c>
      <c r="J7" s="24">
        <f>Platform!J6</f>
        <v>2.5</v>
      </c>
      <c r="K7" s="24">
        <f>Platform!K6</f>
        <v>2.5</v>
      </c>
      <c r="L7" s="24">
        <f>Platform!L6</f>
        <v>2.5</v>
      </c>
      <c r="M7" s="24">
        <f>Platform!M6</f>
        <v>0</v>
      </c>
    </row>
    <row r="8" spans="2:13" ht="15" customHeight="1" x14ac:dyDescent="0.25">
      <c r="B8" s="24" t="s">
        <v>241</v>
      </c>
      <c r="C8" s="24" t="str">
        <f>Platform!C7</f>
        <v>Real-time FPGA pipelines, SDR firmware, DBF - already fielded in ESM; reused across Radar, C-UAS, AI sensor fusion.</v>
      </c>
      <c r="D8" s="24">
        <f>Platform!D7</f>
        <v>28</v>
      </c>
      <c r="E8" s="24">
        <f>Platform!E7</f>
        <v>30</v>
      </c>
      <c r="F8" s="24">
        <f>Platform!F7</f>
        <v>13</v>
      </c>
      <c r="G8" s="24">
        <f>Platform!G7</f>
        <v>8</v>
      </c>
      <c r="H8" s="24">
        <f>Platform!H7</f>
        <v>5</v>
      </c>
      <c r="I8" s="24">
        <f>Platform!I7</f>
        <v>3</v>
      </c>
      <c r="J8" s="24">
        <f>Platform!J7</f>
        <v>1.5</v>
      </c>
      <c r="K8" s="24">
        <f>Platform!K7</f>
        <v>1.5</v>
      </c>
      <c r="L8" s="24">
        <f>Platform!L7</f>
        <v>0</v>
      </c>
      <c r="M8" s="24">
        <f>Platform!M7</f>
        <v>0</v>
      </c>
    </row>
    <row r="9" spans="2:13" ht="15" customHeight="1" x14ac:dyDescent="0.25">
      <c r="B9" s="24" t="s">
        <v>242</v>
      </c>
      <c r="C9" s="24" t="str">
        <f>Platform!C8</f>
        <v>MIL-STD-810/461/704 hardening, mechanical/thermal, V&amp;V - every product line consumes this.</v>
      </c>
      <c r="D9" s="24">
        <f>Platform!D8</f>
        <v>12</v>
      </c>
      <c r="E9" s="24">
        <f>Platform!E8</f>
        <v>28</v>
      </c>
      <c r="F9" s="24">
        <f>Platform!F8</f>
        <v>17</v>
      </c>
      <c r="G9" s="24">
        <f>Platform!G8</f>
        <v>12</v>
      </c>
      <c r="H9" s="24">
        <f>Platform!H8</f>
        <v>7</v>
      </c>
      <c r="I9" s="24">
        <f>Platform!I8</f>
        <v>3.5</v>
      </c>
      <c r="J9" s="24">
        <f>Platform!J8</f>
        <v>2.5</v>
      </c>
      <c r="K9" s="24">
        <f>Platform!K8</f>
        <v>1.3</v>
      </c>
      <c r="L9" s="24">
        <f>Platform!L8</f>
        <v>1.3</v>
      </c>
      <c r="M9" s="24">
        <f>Platform!M8</f>
        <v>1.3</v>
      </c>
    </row>
    <row r="10" spans="2:13" ht="15" customHeight="1" x14ac:dyDescent="0.25">
      <c r="B10" s="24" t="s">
        <v>243</v>
      </c>
      <c r="C10" s="24" t="str">
        <f>Platform!C9</f>
        <v>RTOS, mission computer SW, C2 interfaces, cybersecurity, MOSA/FACE - productized early, shipped with ESM and Mil-AI in Y1.</v>
      </c>
      <c r="D10" s="24">
        <f>Platform!D9</f>
        <v>6</v>
      </c>
      <c r="E10" s="24">
        <f>Platform!E9</f>
        <v>42</v>
      </c>
      <c r="F10" s="24">
        <f>Platform!F9</f>
        <v>17</v>
      </c>
      <c r="G10" s="24">
        <f>Platform!G9</f>
        <v>9</v>
      </c>
      <c r="H10" s="24">
        <f>Platform!H9</f>
        <v>5</v>
      </c>
      <c r="I10" s="24">
        <f>Platform!I9</f>
        <v>2.5</v>
      </c>
      <c r="J10" s="24">
        <f>Platform!J9</f>
        <v>1.3</v>
      </c>
      <c r="K10" s="24">
        <f>Platform!K9</f>
        <v>1.3</v>
      </c>
      <c r="L10" s="24">
        <f>Platform!L9</f>
        <v>1.3</v>
      </c>
      <c r="M10" s="24">
        <f>Platform!M9</f>
        <v>0</v>
      </c>
    </row>
    <row r="11" spans="2:13" ht="15" customHeight="1" x14ac:dyDescent="0.25">
      <c r="B11" s="24" t="s">
        <v>244</v>
      </c>
      <c r="C11" s="24" t="str">
        <f>Platform!C10</f>
        <v>CV, sensor fusion, autonomy stack, MLOps - fastest-growing module; heaviest reuse in C-UAS, UAS, AUV/USV, MilAI.</v>
      </c>
      <c r="D11" s="24">
        <f>Platform!D10</f>
        <v>10</v>
      </c>
      <c r="E11" s="24">
        <f>Platform!E10</f>
        <v>65</v>
      </c>
      <c r="F11" s="24">
        <f>Platform!F10</f>
        <v>35</v>
      </c>
      <c r="G11" s="24">
        <f>Platform!G10</f>
        <v>22</v>
      </c>
      <c r="H11" s="24">
        <f>Platform!H10</f>
        <v>12</v>
      </c>
      <c r="I11" s="24">
        <f>Platform!I10</f>
        <v>7</v>
      </c>
      <c r="J11" s="24">
        <f>Platform!J10</f>
        <v>3.5</v>
      </c>
      <c r="K11" s="24">
        <f>Platform!K10</f>
        <v>1.8</v>
      </c>
      <c r="L11" s="24">
        <f>Platform!L10</f>
        <v>1.8</v>
      </c>
      <c r="M11" s="24">
        <f>Platform!M10</f>
        <v>1.8</v>
      </c>
    </row>
    <row r="12" spans="2:13" ht="15" customHeight="1" x14ac:dyDescent="0.25">
      <c r="B12" s="47" t="s">
        <v>245</v>
      </c>
      <c r="C12" s="47" t="s">
        <v>246</v>
      </c>
      <c r="D12" s="47">
        <f t="shared" ref="D12:M12" si="0">SUM(D7:D11)</f>
        <v>101</v>
      </c>
      <c r="E12" s="47">
        <f t="shared" si="0"/>
        <v>210</v>
      </c>
      <c r="F12" s="47">
        <f t="shared" si="0"/>
        <v>107</v>
      </c>
      <c r="G12" s="47">
        <f t="shared" si="0"/>
        <v>69</v>
      </c>
      <c r="H12" s="47">
        <f t="shared" si="0"/>
        <v>38</v>
      </c>
      <c r="I12" s="47">
        <f t="shared" si="0"/>
        <v>20.5</v>
      </c>
      <c r="J12" s="47">
        <f t="shared" si="0"/>
        <v>11.3</v>
      </c>
      <c r="K12" s="47">
        <f t="shared" si="0"/>
        <v>8.4</v>
      </c>
      <c r="L12" s="47">
        <f t="shared" si="0"/>
        <v>6.8999999999999995</v>
      </c>
      <c r="M12" s="47">
        <f t="shared" si="0"/>
        <v>3.1</v>
      </c>
    </row>
    <row r="14" spans="2:13" ht="15" customHeight="1" x14ac:dyDescent="0.25">
      <c r="B14" s="120" t="s">
        <v>247</v>
      </c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</row>
    <row r="15" spans="2:13" ht="15" customHeight="1" x14ac:dyDescent="0.25">
      <c r="B15" s="46" t="s">
        <v>211</v>
      </c>
      <c r="C15" s="46" t="s">
        <v>248</v>
      </c>
      <c r="D15" s="46" t="s">
        <v>30</v>
      </c>
      <c r="E15" s="46" t="s">
        <v>25</v>
      </c>
      <c r="F15" s="46" t="s">
        <v>44</v>
      </c>
      <c r="G15" s="46" t="s">
        <v>39</v>
      </c>
      <c r="H15" s="46" t="s">
        <v>58</v>
      </c>
      <c r="I15" s="46" t="s">
        <v>59</v>
      </c>
      <c r="J15" s="46" t="s">
        <v>60</v>
      </c>
      <c r="K15" s="46" t="s">
        <v>61</v>
      </c>
      <c r="L15" s="46" t="s">
        <v>62</v>
      </c>
      <c r="M15" s="46" t="s">
        <v>63</v>
      </c>
    </row>
    <row r="16" spans="2:13" ht="15" customHeight="1" x14ac:dyDescent="0.25">
      <c r="B16" s="48" t="s">
        <v>240</v>
      </c>
      <c r="C16" s="48" t="s">
        <v>249</v>
      </c>
      <c r="D16" s="48">
        <v>0.5</v>
      </c>
      <c r="E16" s="48">
        <v>0.35</v>
      </c>
      <c r="F16" s="48">
        <v>0.2</v>
      </c>
      <c r="G16" s="48">
        <v>0.15</v>
      </c>
      <c r="H16" s="48">
        <v>0.1</v>
      </c>
      <c r="I16" s="48">
        <v>0.1</v>
      </c>
      <c r="J16" s="48">
        <v>0.05</v>
      </c>
      <c r="K16" s="48">
        <v>0.05</v>
      </c>
      <c r="L16" s="48">
        <v>0.05</v>
      </c>
      <c r="M16" s="48">
        <v>0.05</v>
      </c>
    </row>
    <row r="17" spans="2:13" ht="15" customHeight="1" x14ac:dyDescent="0.25">
      <c r="B17" s="48" t="s">
        <v>241</v>
      </c>
      <c r="C17" s="48" t="s">
        <v>249</v>
      </c>
      <c r="D17" s="48">
        <v>0.45</v>
      </c>
      <c r="E17" s="48">
        <v>0.3</v>
      </c>
      <c r="F17" s="48">
        <v>0.18</v>
      </c>
      <c r="G17" s="48">
        <v>0.12</v>
      </c>
      <c r="H17" s="48">
        <v>0.08</v>
      </c>
      <c r="I17" s="48">
        <v>0.05</v>
      </c>
      <c r="J17" s="48">
        <v>0.05</v>
      </c>
      <c r="K17" s="48">
        <v>0.05</v>
      </c>
      <c r="L17" s="48">
        <v>0.05</v>
      </c>
      <c r="M17" s="48">
        <v>0.05</v>
      </c>
    </row>
    <row r="18" spans="2:13" ht="15" customHeight="1" x14ac:dyDescent="0.25">
      <c r="B18" s="48" t="s">
        <v>242</v>
      </c>
      <c r="C18" s="48" t="s">
        <v>249</v>
      </c>
      <c r="D18" s="48">
        <v>0.35</v>
      </c>
      <c r="E18" s="48">
        <v>0.25</v>
      </c>
      <c r="F18" s="48">
        <v>0.15</v>
      </c>
      <c r="G18" s="48">
        <v>0.1</v>
      </c>
      <c r="H18" s="48">
        <v>0.08</v>
      </c>
      <c r="I18" s="48">
        <v>0.05</v>
      </c>
      <c r="J18" s="48">
        <v>0.05</v>
      </c>
      <c r="K18" s="48">
        <v>0.05</v>
      </c>
      <c r="L18" s="48">
        <v>0.05</v>
      </c>
      <c r="M18" s="48">
        <v>0.05</v>
      </c>
    </row>
    <row r="19" spans="2:13" ht="15" customHeight="1" x14ac:dyDescent="0.25">
      <c r="B19" s="48" t="s">
        <v>243</v>
      </c>
      <c r="C19" s="48" t="s">
        <v>249</v>
      </c>
      <c r="D19" s="48">
        <v>0.4</v>
      </c>
      <c r="E19" s="48">
        <v>0.25</v>
      </c>
      <c r="F19" s="48">
        <v>0.15</v>
      </c>
      <c r="G19" s="48">
        <v>0.1</v>
      </c>
      <c r="H19" s="48">
        <v>0.08</v>
      </c>
      <c r="I19" s="48">
        <v>0.05</v>
      </c>
      <c r="J19" s="48">
        <v>0.05</v>
      </c>
      <c r="K19" s="48">
        <v>0.05</v>
      </c>
      <c r="L19" s="48">
        <v>0.05</v>
      </c>
      <c r="M19" s="48">
        <v>0.05</v>
      </c>
    </row>
    <row r="20" spans="2:13" ht="15" customHeight="1" x14ac:dyDescent="0.25">
      <c r="B20" s="48" t="s">
        <v>244</v>
      </c>
      <c r="C20" s="48" t="s">
        <v>249</v>
      </c>
      <c r="D20" s="48">
        <v>0.65</v>
      </c>
      <c r="E20" s="48">
        <v>0.5</v>
      </c>
      <c r="F20" s="48">
        <v>0.35</v>
      </c>
      <c r="G20" s="48">
        <v>0.25</v>
      </c>
      <c r="H20" s="48">
        <v>0.18</v>
      </c>
      <c r="I20" s="48">
        <v>0.12</v>
      </c>
      <c r="J20" s="48">
        <v>0.1</v>
      </c>
      <c r="K20" s="48">
        <v>0.08</v>
      </c>
      <c r="L20" s="48">
        <v>0.08</v>
      </c>
      <c r="M20" s="48">
        <v>0.08</v>
      </c>
    </row>
    <row r="23" spans="2:13" ht="15" customHeight="1" x14ac:dyDescent="0.25">
      <c r="B23" s="120" t="s">
        <v>250</v>
      </c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</row>
    <row r="24" spans="2:13" ht="15" customHeight="1" x14ac:dyDescent="0.25">
      <c r="B24" s="46" t="s">
        <v>211</v>
      </c>
      <c r="C24" s="46" t="s">
        <v>248</v>
      </c>
      <c r="D24" s="46" t="s">
        <v>30</v>
      </c>
      <c r="E24" s="46" t="s">
        <v>25</v>
      </c>
      <c r="F24" s="46" t="s">
        <v>44</v>
      </c>
      <c r="G24" s="46" t="s">
        <v>39</v>
      </c>
      <c r="H24" s="46" t="s">
        <v>58</v>
      </c>
      <c r="I24" s="46" t="s">
        <v>59</v>
      </c>
      <c r="J24" s="46" t="s">
        <v>60</v>
      </c>
      <c r="K24" s="46" t="s">
        <v>61</v>
      </c>
      <c r="L24" s="46" t="s">
        <v>62</v>
      </c>
      <c r="M24" s="46" t="s">
        <v>63</v>
      </c>
    </row>
    <row r="25" spans="2:13" ht="15" customHeight="1" x14ac:dyDescent="0.25">
      <c r="B25" s="48" t="s">
        <v>240</v>
      </c>
      <c r="C25" s="48" t="s">
        <v>251</v>
      </c>
      <c r="D25" s="48">
        <v>0.25</v>
      </c>
      <c r="E25" s="48">
        <v>0.45</v>
      </c>
      <c r="F25" s="48">
        <v>0.6</v>
      </c>
      <c r="G25" s="48">
        <v>0.65</v>
      </c>
      <c r="H25" s="48">
        <v>0.7</v>
      </c>
      <c r="I25" s="48">
        <v>0.7</v>
      </c>
      <c r="J25" s="48">
        <v>0.75</v>
      </c>
      <c r="K25" s="48">
        <v>0.75</v>
      </c>
      <c r="L25" s="48">
        <v>0.75</v>
      </c>
      <c r="M25" s="48">
        <v>0.75</v>
      </c>
    </row>
    <row r="26" spans="2:13" ht="15" customHeight="1" x14ac:dyDescent="0.25">
      <c r="B26" s="48" t="s">
        <v>241</v>
      </c>
      <c r="C26" s="48" t="s">
        <v>251</v>
      </c>
      <c r="D26" s="48">
        <v>0.3</v>
      </c>
      <c r="E26" s="48">
        <v>0.5</v>
      </c>
      <c r="F26" s="48">
        <v>0.62</v>
      </c>
      <c r="G26" s="48">
        <v>0.68</v>
      </c>
      <c r="H26" s="48">
        <v>0.72</v>
      </c>
      <c r="I26" s="48">
        <v>0.75</v>
      </c>
      <c r="J26" s="48">
        <v>0.75</v>
      </c>
      <c r="K26" s="48">
        <v>0.75</v>
      </c>
      <c r="L26" s="48">
        <v>0.75</v>
      </c>
      <c r="M26" s="48">
        <v>0.75</v>
      </c>
    </row>
    <row r="27" spans="2:13" ht="15" customHeight="1" x14ac:dyDescent="0.25">
      <c r="B27" s="48" t="s">
        <v>242</v>
      </c>
      <c r="C27" s="48" t="s">
        <v>251</v>
      </c>
      <c r="D27" s="48">
        <v>0.25</v>
      </c>
      <c r="E27" s="48">
        <v>0.4</v>
      </c>
      <c r="F27" s="48">
        <v>0.55000000000000004</v>
      </c>
      <c r="G27" s="48">
        <v>0.65</v>
      </c>
      <c r="H27" s="48">
        <v>0.7</v>
      </c>
      <c r="I27" s="48">
        <v>0.72</v>
      </c>
      <c r="J27" s="48">
        <v>0.75</v>
      </c>
      <c r="K27" s="48">
        <v>0.75</v>
      </c>
      <c r="L27" s="48">
        <v>0.75</v>
      </c>
      <c r="M27" s="48">
        <v>0.75</v>
      </c>
    </row>
    <row r="28" spans="2:13" ht="15" customHeight="1" x14ac:dyDescent="0.25">
      <c r="B28" s="48" t="s">
        <v>243</v>
      </c>
      <c r="C28" s="48" t="s">
        <v>251</v>
      </c>
      <c r="D28" s="48">
        <v>0.35</v>
      </c>
      <c r="E28" s="48">
        <v>0.55000000000000004</v>
      </c>
      <c r="F28" s="48">
        <v>0.65</v>
      </c>
      <c r="G28" s="48">
        <v>0.7</v>
      </c>
      <c r="H28" s="48">
        <v>0.75</v>
      </c>
      <c r="I28" s="48">
        <v>0.78</v>
      </c>
      <c r="J28" s="48">
        <v>0.8</v>
      </c>
      <c r="K28" s="48">
        <v>0.8</v>
      </c>
      <c r="L28" s="48">
        <v>0.8</v>
      </c>
      <c r="M28" s="48">
        <v>0.8</v>
      </c>
    </row>
    <row r="29" spans="2:13" ht="15" customHeight="1" x14ac:dyDescent="0.25">
      <c r="B29" s="48" t="s">
        <v>244</v>
      </c>
      <c r="C29" s="48" t="s">
        <v>251</v>
      </c>
      <c r="D29" s="48">
        <v>0.15</v>
      </c>
      <c r="E29" s="48">
        <v>0.3</v>
      </c>
      <c r="F29" s="48">
        <v>0.45</v>
      </c>
      <c r="G29" s="48">
        <v>0.55000000000000004</v>
      </c>
      <c r="H29" s="48">
        <v>0.62</v>
      </c>
      <c r="I29" s="48">
        <v>0.68</v>
      </c>
      <c r="J29" s="48">
        <v>0.7</v>
      </c>
      <c r="K29" s="48">
        <v>0.72</v>
      </c>
      <c r="L29" s="48">
        <v>0.72</v>
      </c>
      <c r="M29" s="48">
        <v>0.72</v>
      </c>
    </row>
    <row r="32" spans="2:13" ht="15" customHeight="1" x14ac:dyDescent="0.25">
      <c r="B32" s="120" t="s">
        <v>252</v>
      </c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</row>
    <row r="33" spans="2:13" ht="15" customHeight="1" x14ac:dyDescent="0.25">
      <c r="B33" s="46" t="s">
        <v>211</v>
      </c>
      <c r="C33" s="46" t="s">
        <v>253</v>
      </c>
      <c r="D33" s="46" t="s">
        <v>30</v>
      </c>
      <c r="E33" s="46" t="s">
        <v>25</v>
      </c>
      <c r="F33" s="46" t="s">
        <v>44</v>
      </c>
      <c r="G33" s="46" t="s">
        <v>39</v>
      </c>
      <c r="H33" s="46" t="s">
        <v>58</v>
      </c>
      <c r="I33" s="46" t="s">
        <v>59</v>
      </c>
      <c r="J33" s="46" t="s">
        <v>60</v>
      </c>
      <c r="K33" s="46" t="s">
        <v>61</v>
      </c>
      <c r="L33" s="46" t="s">
        <v>62</v>
      </c>
      <c r="M33" s="46" t="s">
        <v>63</v>
      </c>
    </row>
    <row r="34" spans="2:13" ht="15" customHeight="1" x14ac:dyDescent="0.25">
      <c r="B34" s="49" t="s">
        <v>240</v>
      </c>
      <c r="C34" s="49" t="s">
        <v>254</v>
      </c>
      <c r="D34" s="49">
        <f t="shared" ref="D34:M34" si="1">1-D16-D25</f>
        <v>0.25</v>
      </c>
      <c r="E34" s="49">
        <f t="shared" si="1"/>
        <v>0.2</v>
      </c>
      <c r="F34" s="49">
        <f t="shared" si="1"/>
        <v>0.20000000000000007</v>
      </c>
      <c r="G34" s="49">
        <f t="shared" si="1"/>
        <v>0.19999999999999996</v>
      </c>
      <c r="H34" s="49">
        <f t="shared" si="1"/>
        <v>0.20000000000000007</v>
      </c>
      <c r="I34" s="49">
        <f t="shared" si="1"/>
        <v>0.20000000000000007</v>
      </c>
      <c r="J34" s="49">
        <f t="shared" si="1"/>
        <v>0.19999999999999996</v>
      </c>
      <c r="K34" s="49">
        <f t="shared" si="1"/>
        <v>0.19999999999999996</v>
      </c>
      <c r="L34" s="49">
        <f t="shared" si="1"/>
        <v>0.19999999999999996</v>
      </c>
      <c r="M34" s="49">
        <f t="shared" si="1"/>
        <v>0.19999999999999996</v>
      </c>
    </row>
    <row r="35" spans="2:13" ht="15" customHeight="1" x14ac:dyDescent="0.25">
      <c r="B35" s="49" t="s">
        <v>241</v>
      </c>
      <c r="C35" s="49" t="s">
        <v>254</v>
      </c>
      <c r="D35" s="49">
        <f t="shared" ref="D35:M35" si="2">1-D17-D26</f>
        <v>0.25000000000000006</v>
      </c>
      <c r="E35" s="49">
        <f t="shared" si="2"/>
        <v>0.19999999999999996</v>
      </c>
      <c r="F35" s="49">
        <f t="shared" si="2"/>
        <v>0.20000000000000007</v>
      </c>
      <c r="G35" s="49">
        <f t="shared" si="2"/>
        <v>0.19999999999999996</v>
      </c>
      <c r="H35" s="49">
        <f t="shared" si="2"/>
        <v>0.20000000000000007</v>
      </c>
      <c r="I35" s="49">
        <f t="shared" si="2"/>
        <v>0.19999999999999996</v>
      </c>
      <c r="J35" s="49">
        <f t="shared" si="2"/>
        <v>0.19999999999999996</v>
      </c>
      <c r="K35" s="49">
        <f t="shared" si="2"/>
        <v>0.19999999999999996</v>
      </c>
      <c r="L35" s="49">
        <f t="shared" si="2"/>
        <v>0.19999999999999996</v>
      </c>
      <c r="M35" s="49">
        <f t="shared" si="2"/>
        <v>0.19999999999999996</v>
      </c>
    </row>
    <row r="36" spans="2:13" ht="15" customHeight="1" x14ac:dyDescent="0.25">
      <c r="B36" s="49" t="s">
        <v>242</v>
      </c>
      <c r="C36" s="49" t="s">
        <v>254</v>
      </c>
      <c r="D36" s="49">
        <f t="shared" ref="D36:M36" si="3">1-D18-D27</f>
        <v>0.4</v>
      </c>
      <c r="E36" s="49">
        <f t="shared" si="3"/>
        <v>0.35</v>
      </c>
      <c r="F36" s="49">
        <f t="shared" si="3"/>
        <v>0.29999999999999993</v>
      </c>
      <c r="G36" s="49">
        <f t="shared" si="3"/>
        <v>0.25</v>
      </c>
      <c r="H36" s="49">
        <f t="shared" si="3"/>
        <v>0.22000000000000008</v>
      </c>
      <c r="I36" s="49">
        <f t="shared" si="3"/>
        <v>0.22999999999999998</v>
      </c>
      <c r="J36" s="49">
        <f t="shared" si="3"/>
        <v>0.19999999999999996</v>
      </c>
      <c r="K36" s="49">
        <f t="shared" si="3"/>
        <v>0.19999999999999996</v>
      </c>
      <c r="L36" s="49">
        <f t="shared" si="3"/>
        <v>0.19999999999999996</v>
      </c>
      <c r="M36" s="49">
        <f t="shared" si="3"/>
        <v>0.19999999999999996</v>
      </c>
    </row>
    <row r="37" spans="2:13" ht="15" customHeight="1" x14ac:dyDescent="0.25">
      <c r="B37" s="49" t="s">
        <v>243</v>
      </c>
      <c r="C37" s="49" t="s">
        <v>254</v>
      </c>
      <c r="D37" s="49">
        <f t="shared" ref="D37:M37" si="4">1-D19-D28</f>
        <v>0.25</v>
      </c>
      <c r="E37" s="49">
        <f t="shared" si="4"/>
        <v>0.19999999999999996</v>
      </c>
      <c r="F37" s="49">
        <f t="shared" si="4"/>
        <v>0.19999999999999996</v>
      </c>
      <c r="G37" s="49">
        <f t="shared" si="4"/>
        <v>0.20000000000000007</v>
      </c>
      <c r="H37" s="49">
        <f t="shared" si="4"/>
        <v>0.17000000000000004</v>
      </c>
      <c r="I37" s="49">
        <f t="shared" si="4"/>
        <v>0.16999999999999993</v>
      </c>
      <c r="J37" s="49">
        <f t="shared" si="4"/>
        <v>0.14999999999999991</v>
      </c>
      <c r="K37" s="49">
        <f t="shared" si="4"/>
        <v>0.14999999999999991</v>
      </c>
      <c r="L37" s="49">
        <f t="shared" si="4"/>
        <v>0.14999999999999991</v>
      </c>
      <c r="M37" s="49">
        <f t="shared" si="4"/>
        <v>0.14999999999999991</v>
      </c>
    </row>
    <row r="38" spans="2:13" ht="15" customHeight="1" x14ac:dyDescent="0.25">
      <c r="B38" s="49" t="s">
        <v>244</v>
      </c>
      <c r="C38" s="49" t="s">
        <v>254</v>
      </c>
      <c r="D38" s="49">
        <f t="shared" ref="D38:M38" si="5">1-D20-D29</f>
        <v>0.19999999999999998</v>
      </c>
      <c r="E38" s="49">
        <f t="shared" si="5"/>
        <v>0.2</v>
      </c>
      <c r="F38" s="49">
        <f t="shared" si="5"/>
        <v>0.2</v>
      </c>
      <c r="G38" s="49">
        <f t="shared" si="5"/>
        <v>0.19999999999999996</v>
      </c>
      <c r="H38" s="49">
        <f t="shared" si="5"/>
        <v>0.20000000000000007</v>
      </c>
      <c r="I38" s="49">
        <f t="shared" si="5"/>
        <v>0.19999999999999996</v>
      </c>
      <c r="J38" s="49">
        <f t="shared" si="5"/>
        <v>0.20000000000000007</v>
      </c>
      <c r="K38" s="49">
        <f t="shared" si="5"/>
        <v>0.20000000000000007</v>
      </c>
      <c r="L38" s="49">
        <f t="shared" si="5"/>
        <v>0.20000000000000007</v>
      </c>
      <c r="M38" s="49">
        <f t="shared" si="5"/>
        <v>0.20000000000000007</v>
      </c>
    </row>
    <row r="41" spans="2:13" ht="15" customHeight="1" x14ac:dyDescent="0.25">
      <c r="B41" s="120" t="s">
        <v>255</v>
      </c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</row>
    <row r="42" spans="2:13" ht="15" customHeight="1" x14ac:dyDescent="0.25">
      <c r="B42" s="46" t="s">
        <v>211</v>
      </c>
      <c r="C42" s="46" t="s">
        <v>256</v>
      </c>
      <c r="D42" s="46" t="s">
        <v>30</v>
      </c>
      <c r="E42" s="46" t="s">
        <v>25</v>
      </c>
      <c r="F42" s="46" t="s">
        <v>44</v>
      </c>
      <c r="G42" s="46" t="s">
        <v>39</v>
      </c>
      <c r="H42" s="46" t="s">
        <v>58</v>
      </c>
      <c r="I42" s="46" t="s">
        <v>59</v>
      </c>
      <c r="J42" s="46" t="s">
        <v>60</v>
      </c>
      <c r="K42" s="46" t="s">
        <v>61</v>
      </c>
      <c r="L42" s="46" t="s">
        <v>62</v>
      </c>
      <c r="M42" s="46" t="s">
        <v>63</v>
      </c>
    </row>
    <row r="43" spans="2:13" ht="15" customHeight="1" x14ac:dyDescent="0.25">
      <c r="B43" s="50" t="s">
        <v>240</v>
      </c>
      <c r="C43" s="50" t="s">
        <v>257</v>
      </c>
      <c r="D43" s="50">
        <f t="shared" ref="D43:M43" si="6">D16+D25+D34</f>
        <v>1</v>
      </c>
      <c r="E43" s="50">
        <f t="shared" si="6"/>
        <v>1</v>
      </c>
      <c r="F43" s="50">
        <f t="shared" si="6"/>
        <v>1</v>
      </c>
      <c r="G43" s="50">
        <f t="shared" si="6"/>
        <v>1</v>
      </c>
      <c r="H43" s="50">
        <f t="shared" si="6"/>
        <v>1</v>
      </c>
      <c r="I43" s="50">
        <f t="shared" si="6"/>
        <v>1</v>
      </c>
      <c r="J43" s="50">
        <f t="shared" si="6"/>
        <v>1</v>
      </c>
      <c r="K43" s="50">
        <f t="shared" si="6"/>
        <v>1</v>
      </c>
      <c r="L43" s="50">
        <f t="shared" si="6"/>
        <v>1</v>
      </c>
      <c r="M43" s="50">
        <f t="shared" si="6"/>
        <v>1</v>
      </c>
    </row>
    <row r="44" spans="2:13" ht="15" customHeight="1" x14ac:dyDescent="0.25">
      <c r="B44" s="50" t="s">
        <v>241</v>
      </c>
      <c r="C44" s="50" t="s">
        <v>257</v>
      </c>
      <c r="D44" s="50">
        <f t="shared" ref="D44:M44" si="7">D17+D26+D35</f>
        <v>1</v>
      </c>
      <c r="E44" s="50">
        <f t="shared" si="7"/>
        <v>1</v>
      </c>
      <c r="F44" s="50">
        <f t="shared" si="7"/>
        <v>1</v>
      </c>
      <c r="G44" s="50">
        <f t="shared" si="7"/>
        <v>1</v>
      </c>
      <c r="H44" s="50">
        <f t="shared" si="7"/>
        <v>1</v>
      </c>
      <c r="I44" s="50">
        <f t="shared" si="7"/>
        <v>1</v>
      </c>
      <c r="J44" s="50">
        <f t="shared" si="7"/>
        <v>1</v>
      </c>
      <c r="K44" s="50">
        <f t="shared" si="7"/>
        <v>1</v>
      </c>
      <c r="L44" s="50">
        <f t="shared" si="7"/>
        <v>1</v>
      </c>
      <c r="M44" s="50">
        <f t="shared" si="7"/>
        <v>1</v>
      </c>
    </row>
    <row r="45" spans="2:13" ht="15" customHeight="1" x14ac:dyDescent="0.25">
      <c r="B45" s="50" t="s">
        <v>242</v>
      </c>
      <c r="C45" s="50" t="s">
        <v>257</v>
      </c>
      <c r="D45" s="50">
        <f t="shared" ref="D45:M45" si="8">D18+D27+D36</f>
        <v>1</v>
      </c>
      <c r="E45" s="50">
        <f t="shared" si="8"/>
        <v>1</v>
      </c>
      <c r="F45" s="50">
        <f t="shared" si="8"/>
        <v>1</v>
      </c>
      <c r="G45" s="50">
        <f t="shared" si="8"/>
        <v>1</v>
      </c>
      <c r="H45" s="50">
        <f t="shared" si="8"/>
        <v>1</v>
      </c>
      <c r="I45" s="50">
        <f t="shared" si="8"/>
        <v>1</v>
      </c>
      <c r="J45" s="50">
        <f t="shared" si="8"/>
        <v>1</v>
      </c>
      <c r="K45" s="50">
        <f t="shared" si="8"/>
        <v>1</v>
      </c>
      <c r="L45" s="50">
        <f t="shared" si="8"/>
        <v>1</v>
      </c>
      <c r="M45" s="50">
        <f t="shared" si="8"/>
        <v>1</v>
      </c>
    </row>
    <row r="46" spans="2:13" ht="15" customHeight="1" x14ac:dyDescent="0.25">
      <c r="B46" s="50" t="s">
        <v>243</v>
      </c>
      <c r="C46" s="50" t="s">
        <v>257</v>
      </c>
      <c r="D46" s="50">
        <f t="shared" ref="D46:M46" si="9">D19+D28+D37</f>
        <v>1</v>
      </c>
      <c r="E46" s="50">
        <f t="shared" si="9"/>
        <v>1</v>
      </c>
      <c r="F46" s="50">
        <f t="shared" si="9"/>
        <v>1</v>
      </c>
      <c r="G46" s="50">
        <f t="shared" si="9"/>
        <v>1</v>
      </c>
      <c r="H46" s="50">
        <f t="shared" si="9"/>
        <v>1</v>
      </c>
      <c r="I46" s="50">
        <f t="shared" si="9"/>
        <v>1</v>
      </c>
      <c r="J46" s="50">
        <f t="shared" si="9"/>
        <v>1</v>
      </c>
      <c r="K46" s="50">
        <f t="shared" si="9"/>
        <v>1</v>
      </c>
      <c r="L46" s="50">
        <f t="shared" si="9"/>
        <v>1</v>
      </c>
      <c r="M46" s="50">
        <f t="shared" si="9"/>
        <v>1</v>
      </c>
    </row>
    <row r="47" spans="2:13" ht="15" customHeight="1" x14ac:dyDescent="0.25">
      <c r="B47" s="50" t="s">
        <v>244</v>
      </c>
      <c r="C47" s="50" t="s">
        <v>257</v>
      </c>
      <c r="D47" s="50">
        <f t="shared" ref="D47:M47" si="10">D20+D29+D38</f>
        <v>1</v>
      </c>
      <c r="E47" s="50">
        <f t="shared" si="10"/>
        <v>1</v>
      </c>
      <c r="F47" s="50">
        <f t="shared" si="10"/>
        <v>1</v>
      </c>
      <c r="G47" s="50">
        <f t="shared" si="10"/>
        <v>1</v>
      </c>
      <c r="H47" s="50">
        <f t="shared" si="10"/>
        <v>1</v>
      </c>
      <c r="I47" s="50">
        <f t="shared" si="10"/>
        <v>1</v>
      </c>
      <c r="J47" s="50">
        <f t="shared" si="10"/>
        <v>1</v>
      </c>
      <c r="K47" s="50">
        <f t="shared" si="10"/>
        <v>1</v>
      </c>
      <c r="L47" s="50">
        <f t="shared" si="10"/>
        <v>1</v>
      </c>
      <c r="M47" s="50">
        <f t="shared" si="10"/>
        <v>1</v>
      </c>
    </row>
    <row r="49" spans="2:13" ht="15" customHeight="1" x14ac:dyDescent="0.25">
      <c r="B49" s="51" t="s">
        <v>258</v>
      </c>
      <c r="C49" s="51" t="s">
        <v>259</v>
      </c>
      <c r="D49" s="51" t="str">
        <f t="shared" ref="D49:M49" si="11">IF(AND(D43=1,D44=1,D45=1,D46=1,D47=1),"OK","CHECK")</f>
        <v>OK</v>
      </c>
      <c r="E49" s="51" t="str">
        <f t="shared" si="11"/>
        <v>OK</v>
      </c>
      <c r="F49" s="51" t="str">
        <f t="shared" si="11"/>
        <v>OK</v>
      </c>
      <c r="G49" s="51" t="str">
        <f t="shared" si="11"/>
        <v>OK</v>
      </c>
      <c r="H49" s="51" t="str">
        <f t="shared" si="11"/>
        <v>OK</v>
      </c>
      <c r="I49" s="51" t="str">
        <f t="shared" si="11"/>
        <v>OK</v>
      </c>
      <c r="J49" s="51" t="str">
        <f t="shared" si="11"/>
        <v>OK</v>
      </c>
      <c r="K49" s="51" t="str">
        <f t="shared" si="11"/>
        <v>OK</v>
      </c>
      <c r="L49" s="51" t="str">
        <f t="shared" si="11"/>
        <v>OK</v>
      </c>
      <c r="M49" s="51" t="str">
        <f t="shared" si="11"/>
        <v>OK</v>
      </c>
    </row>
    <row r="52" spans="2:13" ht="15" customHeight="1" x14ac:dyDescent="0.25">
      <c r="B52" s="120" t="s">
        <v>260</v>
      </c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</row>
    <row r="53" spans="2:13" ht="15" customHeight="1" x14ac:dyDescent="0.25">
      <c r="B53" s="46" t="s">
        <v>211</v>
      </c>
      <c r="C53" s="46" t="s">
        <v>253</v>
      </c>
      <c r="D53" s="46" t="s">
        <v>30</v>
      </c>
      <c r="E53" s="46" t="s">
        <v>25</v>
      </c>
      <c r="F53" s="46" t="s">
        <v>44</v>
      </c>
      <c r="G53" s="46" t="s">
        <v>39</v>
      </c>
      <c r="H53" s="46" t="s">
        <v>58</v>
      </c>
      <c r="I53" s="46" t="s">
        <v>59</v>
      </c>
      <c r="J53" s="46" t="s">
        <v>60</v>
      </c>
      <c r="K53" s="46" t="s">
        <v>61</v>
      </c>
      <c r="L53" s="46" t="s">
        <v>62</v>
      </c>
      <c r="M53" s="46" t="s">
        <v>63</v>
      </c>
    </row>
    <row r="54" spans="2:13" ht="15" customHeight="1" x14ac:dyDescent="0.25">
      <c r="B54" s="24" t="s">
        <v>240</v>
      </c>
      <c r="C54" s="24" t="s">
        <v>261</v>
      </c>
      <c r="D54" s="24">
        <f t="shared" ref="D54:M54" si="12">D7*D16</f>
        <v>22.5</v>
      </c>
      <c r="E54" s="24">
        <f t="shared" si="12"/>
        <v>15.749999999999998</v>
      </c>
      <c r="F54" s="24">
        <f t="shared" si="12"/>
        <v>5</v>
      </c>
      <c r="G54" s="24">
        <f t="shared" si="12"/>
        <v>2.6999999999999997</v>
      </c>
      <c r="H54" s="24">
        <f t="shared" si="12"/>
        <v>0.9</v>
      </c>
      <c r="I54" s="24">
        <f t="shared" si="12"/>
        <v>0.45</v>
      </c>
      <c r="J54" s="24">
        <f t="shared" si="12"/>
        <v>0.125</v>
      </c>
      <c r="K54" s="24">
        <f t="shared" si="12"/>
        <v>0.125</v>
      </c>
      <c r="L54" s="24">
        <f t="shared" si="12"/>
        <v>0.125</v>
      </c>
      <c r="M54" s="24">
        <f t="shared" si="12"/>
        <v>0</v>
      </c>
    </row>
    <row r="55" spans="2:13" ht="15" customHeight="1" x14ac:dyDescent="0.25">
      <c r="B55" s="24" t="s">
        <v>241</v>
      </c>
      <c r="C55" s="24" t="s">
        <v>261</v>
      </c>
      <c r="D55" s="24">
        <f t="shared" ref="D55:M55" si="13">D8*D17</f>
        <v>12.6</v>
      </c>
      <c r="E55" s="24">
        <f t="shared" si="13"/>
        <v>9</v>
      </c>
      <c r="F55" s="24">
        <f t="shared" si="13"/>
        <v>2.34</v>
      </c>
      <c r="G55" s="24">
        <f t="shared" si="13"/>
        <v>0.96</v>
      </c>
      <c r="H55" s="24">
        <f t="shared" si="13"/>
        <v>0.4</v>
      </c>
      <c r="I55" s="24">
        <f t="shared" si="13"/>
        <v>0.15000000000000002</v>
      </c>
      <c r="J55" s="24">
        <f t="shared" si="13"/>
        <v>7.5000000000000011E-2</v>
      </c>
      <c r="K55" s="24">
        <f t="shared" si="13"/>
        <v>7.5000000000000011E-2</v>
      </c>
      <c r="L55" s="24">
        <f t="shared" si="13"/>
        <v>0</v>
      </c>
      <c r="M55" s="24">
        <f t="shared" si="13"/>
        <v>0</v>
      </c>
    </row>
    <row r="56" spans="2:13" ht="15" customHeight="1" x14ac:dyDescent="0.25">
      <c r="B56" s="24" t="s">
        <v>242</v>
      </c>
      <c r="C56" s="24" t="s">
        <v>261</v>
      </c>
      <c r="D56" s="24">
        <f t="shared" ref="D56:M56" si="14">D9*D18</f>
        <v>4.1999999999999993</v>
      </c>
      <c r="E56" s="24">
        <f t="shared" si="14"/>
        <v>7</v>
      </c>
      <c r="F56" s="24">
        <f t="shared" si="14"/>
        <v>2.5499999999999998</v>
      </c>
      <c r="G56" s="24">
        <f t="shared" si="14"/>
        <v>1.2000000000000002</v>
      </c>
      <c r="H56" s="24">
        <f t="shared" si="14"/>
        <v>0.56000000000000005</v>
      </c>
      <c r="I56" s="24">
        <f t="shared" si="14"/>
        <v>0.17500000000000002</v>
      </c>
      <c r="J56" s="24">
        <f t="shared" si="14"/>
        <v>0.125</v>
      </c>
      <c r="K56" s="24">
        <f t="shared" si="14"/>
        <v>6.5000000000000002E-2</v>
      </c>
      <c r="L56" s="24">
        <f t="shared" si="14"/>
        <v>6.5000000000000002E-2</v>
      </c>
      <c r="M56" s="24">
        <f t="shared" si="14"/>
        <v>6.5000000000000002E-2</v>
      </c>
    </row>
    <row r="57" spans="2:13" ht="15" customHeight="1" x14ac:dyDescent="0.25">
      <c r="B57" s="24" t="s">
        <v>243</v>
      </c>
      <c r="C57" s="24" t="s">
        <v>261</v>
      </c>
      <c r="D57" s="24">
        <f t="shared" ref="D57:M57" si="15">D10*D19</f>
        <v>2.4000000000000004</v>
      </c>
      <c r="E57" s="24">
        <f t="shared" si="15"/>
        <v>10.5</v>
      </c>
      <c r="F57" s="24">
        <f t="shared" si="15"/>
        <v>2.5499999999999998</v>
      </c>
      <c r="G57" s="24">
        <f t="shared" si="15"/>
        <v>0.9</v>
      </c>
      <c r="H57" s="24">
        <f t="shared" si="15"/>
        <v>0.4</v>
      </c>
      <c r="I57" s="24">
        <f t="shared" si="15"/>
        <v>0.125</v>
      </c>
      <c r="J57" s="24">
        <f t="shared" si="15"/>
        <v>6.5000000000000002E-2</v>
      </c>
      <c r="K57" s="24">
        <f t="shared" si="15"/>
        <v>6.5000000000000002E-2</v>
      </c>
      <c r="L57" s="24">
        <f t="shared" si="15"/>
        <v>6.5000000000000002E-2</v>
      </c>
      <c r="M57" s="24">
        <f t="shared" si="15"/>
        <v>0</v>
      </c>
    </row>
    <row r="58" spans="2:13" ht="15" customHeight="1" x14ac:dyDescent="0.25">
      <c r="B58" s="24" t="s">
        <v>244</v>
      </c>
      <c r="C58" s="24" t="s">
        <v>261</v>
      </c>
      <c r="D58" s="24">
        <f t="shared" ref="D58:M58" si="16">D11*D20</f>
        <v>6.5</v>
      </c>
      <c r="E58" s="24">
        <f t="shared" si="16"/>
        <v>32.5</v>
      </c>
      <c r="F58" s="24">
        <f t="shared" si="16"/>
        <v>12.25</v>
      </c>
      <c r="G58" s="24">
        <f t="shared" si="16"/>
        <v>5.5</v>
      </c>
      <c r="H58" s="24">
        <f t="shared" si="16"/>
        <v>2.16</v>
      </c>
      <c r="I58" s="24">
        <f t="shared" si="16"/>
        <v>0.84</v>
      </c>
      <c r="J58" s="24">
        <f t="shared" si="16"/>
        <v>0.35000000000000003</v>
      </c>
      <c r="K58" s="24">
        <f t="shared" si="16"/>
        <v>0.14400000000000002</v>
      </c>
      <c r="L58" s="24">
        <f t="shared" si="16"/>
        <v>0.14400000000000002</v>
      </c>
      <c r="M58" s="24">
        <f t="shared" si="16"/>
        <v>0.14400000000000002</v>
      </c>
    </row>
    <row r="60" spans="2:13" ht="15" customHeight="1" x14ac:dyDescent="0.25">
      <c r="B60" s="47" t="s">
        <v>262</v>
      </c>
      <c r="C60" s="47"/>
      <c r="D60" s="47">
        <f t="shared" ref="D60:M60" si="17">SUM(D54:D58)</f>
        <v>48.199999999999996</v>
      </c>
      <c r="E60" s="47">
        <f t="shared" si="17"/>
        <v>74.75</v>
      </c>
      <c r="F60" s="47">
        <f t="shared" si="17"/>
        <v>24.69</v>
      </c>
      <c r="G60" s="47">
        <f t="shared" si="17"/>
        <v>11.26</v>
      </c>
      <c r="H60" s="47">
        <f t="shared" si="17"/>
        <v>4.42</v>
      </c>
      <c r="I60" s="47">
        <f t="shared" si="17"/>
        <v>1.7400000000000002</v>
      </c>
      <c r="J60" s="47">
        <f t="shared" si="17"/>
        <v>0.74</v>
      </c>
      <c r="K60" s="47">
        <f t="shared" si="17"/>
        <v>0.47400000000000003</v>
      </c>
      <c r="L60" s="47">
        <f t="shared" si="17"/>
        <v>0.39900000000000002</v>
      </c>
      <c r="M60" s="47">
        <f t="shared" si="17"/>
        <v>0.20900000000000002</v>
      </c>
    </row>
    <row r="63" spans="2:13" ht="15" customHeight="1" x14ac:dyDescent="0.25">
      <c r="B63" s="120" t="s">
        <v>263</v>
      </c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</row>
    <row r="64" spans="2:13" ht="15" customHeight="1" x14ac:dyDescent="0.25">
      <c r="B64" s="46" t="s">
        <v>211</v>
      </c>
      <c r="C64" s="46" t="s">
        <v>253</v>
      </c>
      <c r="D64" s="46" t="s">
        <v>30</v>
      </c>
      <c r="E64" s="46" t="s">
        <v>25</v>
      </c>
      <c r="F64" s="46" t="s">
        <v>44</v>
      </c>
      <c r="G64" s="46" t="s">
        <v>39</v>
      </c>
      <c r="H64" s="46" t="s">
        <v>58</v>
      </c>
      <c r="I64" s="46" t="s">
        <v>59</v>
      </c>
      <c r="J64" s="46" t="s">
        <v>60</v>
      </c>
      <c r="K64" s="46" t="s">
        <v>61</v>
      </c>
      <c r="L64" s="46" t="s">
        <v>62</v>
      </c>
      <c r="M64" s="46" t="s">
        <v>63</v>
      </c>
    </row>
    <row r="65" spans="2:13" ht="15" customHeight="1" x14ac:dyDescent="0.25">
      <c r="B65" s="24" t="s">
        <v>240</v>
      </c>
      <c r="C65" s="24" t="s">
        <v>264</v>
      </c>
      <c r="D65" s="24">
        <f t="shared" ref="D65:M65" si="18">D7*D25</f>
        <v>11.25</v>
      </c>
      <c r="E65" s="24">
        <f t="shared" si="18"/>
        <v>20.25</v>
      </c>
      <c r="F65" s="24">
        <f t="shared" si="18"/>
        <v>15</v>
      </c>
      <c r="G65" s="24">
        <f t="shared" si="18"/>
        <v>11.700000000000001</v>
      </c>
      <c r="H65" s="24">
        <f t="shared" si="18"/>
        <v>6.3</v>
      </c>
      <c r="I65" s="24">
        <f t="shared" si="18"/>
        <v>3.15</v>
      </c>
      <c r="J65" s="24">
        <f t="shared" si="18"/>
        <v>1.875</v>
      </c>
      <c r="K65" s="24">
        <f t="shared" si="18"/>
        <v>1.875</v>
      </c>
      <c r="L65" s="24">
        <f t="shared" si="18"/>
        <v>1.875</v>
      </c>
      <c r="M65" s="24">
        <f t="shared" si="18"/>
        <v>0</v>
      </c>
    </row>
    <row r="66" spans="2:13" ht="15" customHeight="1" x14ac:dyDescent="0.25">
      <c r="B66" s="24" t="s">
        <v>241</v>
      </c>
      <c r="C66" s="24" t="s">
        <v>264</v>
      </c>
      <c r="D66" s="24">
        <f t="shared" ref="D66:M66" si="19">D8*D26</f>
        <v>8.4</v>
      </c>
      <c r="E66" s="24">
        <f t="shared" si="19"/>
        <v>15</v>
      </c>
      <c r="F66" s="24">
        <f t="shared" si="19"/>
        <v>8.06</v>
      </c>
      <c r="G66" s="24">
        <f t="shared" si="19"/>
        <v>5.44</v>
      </c>
      <c r="H66" s="24">
        <f t="shared" si="19"/>
        <v>3.5999999999999996</v>
      </c>
      <c r="I66" s="24">
        <f t="shared" si="19"/>
        <v>2.25</v>
      </c>
      <c r="J66" s="24">
        <f t="shared" si="19"/>
        <v>1.125</v>
      </c>
      <c r="K66" s="24">
        <f t="shared" si="19"/>
        <v>1.125</v>
      </c>
      <c r="L66" s="24">
        <f t="shared" si="19"/>
        <v>0</v>
      </c>
      <c r="M66" s="24">
        <f t="shared" si="19"/>
        <v>0</v>
      </c>
    </row>
    <row r="67" spans="2:13" ht="15" customHeight="1" x14ac:dyDescent="0.25">
      <c r="B67" s="24" t="s">
        <v>242</v>
      </c>
      <c r="C67" s="24" t="s">
        <v>264</v>
      </c>
      <c r="D67" s="24">
        <f t="shared" ref="D67:M67" si="20">D9*D27</f>
        <v>3</v>
      </c>
      <c r="E67" s="24">
        <f t="shared" si="20"/>
        <v>11.200000000000001</v>
      </c>
      <c r="F67" s="24">
        <f t="shared" si="20"/>
        <v>9.3500000000000014</v>
      </c>
      <c r="G67" s="24">
        <f t="shared" si="20"/>
        <v>7.8000000000000007</v>
      </c>
      <c r="H67" s="24">
        <f t="shared" si="20"/>
        <v>4.8999999999999995</v>
      </c>
      <c r="I67" s="24">
        <f t="shared" si="20"/>
        <v>2.52</v>
      </c>
      <c r="J67" s="24">
        <f t="shared" si="20"/>
        <v>1.875</v>
      </c>
      <c r="K67" s="24">
        <f t="shared" si="20"/>
        <v>0.97500000000000009</v>
      </c>
      <c r="L67" s="24">
        <f t="shared" si="20"/>
        <v>0.97500000000000009</v>
      </c>
      <c r="M67" s="24">
        <f t="shared" si="20"/>
        <v>0.97500000000000009</v>
      </c>
    </row>
    <row r="68" spans="2:13" ht="15" customHeight="1" x14ac:dyDescent="0.25">
      <c r="B68" s="24" t="s">
        <v>243</v>
      </c>
      <c r="C68" s="24" t="s">
        <v>264</v>
      </c>
      <c r="D68" s="24">
        <f t="shared" ref="D68:M68" si="21">D10*D28</f>
        <v>2.0999999999999996</v>
      </c>
      <c r="E68" s="24">
        <f t="shared" si="21"/>
        <v>23.1</v>
      </c>
      <c r="F68" s="24">
        <f t="shared" si="21"/>
        <v>11.05</v>
      </c>
      <c r="G68" s="24">
        <f t="shared" si="21"/>
        <v>6.3</v>
      </c>
      <c r="H68" s="24">
        <f t="shared" si="21"/>
        <v>3.75</v>
      </c>
      <c r="I68" s="24">
        <f t="shared" si="21"/>
        <v>1.9500000000000002</v>
      </c>
      <c r="J68" s="24">
        <f t="shared" si="21"/>
        <v>1.04</v>
      </c>
      <c r="K68" s="24">
        <f t="shared" si="21"/>
        <v>1.04</v>
      </c>
      <c r="L68" s="24">
        <f t="shared" si="21"/>
        <v>1.04</v>
      </c>
      <c r="M68" s="24">
        <f t="shared" si="21"/>
        <v>0</v>
      </c>
    </row>
    <row r="69" spans="2:13" ht="15" customHeight="1" x14ac:dyDescent="0.25">
      <c r="B69" s="24" t="s">
        <v>244</v>
      </c>
      <c r="C69" s="24" t="s">
        <v>264</v>
      </c>
      <c r="D69" s="24">
        <f t="shared" ref="D69:M69" si="22">D11*D29</f>
        <v>1.5</v>
      </c>
      <c r="E69" s="24">
        <f t="shared" si="22"/>
        <v>19.5</v>
      </c>
      <c r="F69" s="24">
        <f t="shared" si="22"/>
        <v>15.75</v>
      </c>
      <c r="G69" s="24">
        <f t="shared" si="22"/>
        <v>12.100000000000001</v>
      </c>
      <c r="H69" s="24">
        <f t="shared" si="22"/>
        <v>7.4399999999999995</v>
      </c>
      <c r="I69" s="24">
        <f t="shared" si="22"/>
        <v>4.7600000000000007</v>
      </c>
      <c r="J69" s="24">
        <f t="shared" si="22"/>
        <v>2.4499999999999997</v>
      </c>
      <c r="K69" s="24">
        <f t="shared" si="22"/>
        <v>1.296</v>
      </c>
      <c r="L69" s="24">
        <f t="shared" si="22"/>
        <v>1.296</v>
      </c>
      <c r="M69" s="24">
        <f t="shared" si="22"/>
        <v>1.296</v>
      </c>
    </row>
    <row r="71" spans="2:13" ht="15" customHeight="1" x14ac:dyDescent="0.25">
      <c r="B71" s="47" t="s">
        <v>265</v>
      </c>
      <c r="C71" s="47"/>
      <c r="D71" s="47">
        <f t="shared" ref="D71:M71" si="23">SUM(D65:D69)</f>
        <v>26.25</v>
      </c>
      <c r="E71" s="47">
        <f t="shared" si="23"/>
        <v>89.050000000000011</v>
      </c>
      <c r="F71" s="47">
        <f t="shared" si="23"/>
        <v>59.210000000000008</v>
      </c>
      <c r="G71" s="47">
        <f t="shared" si="23"/>
        <v>43.34</v>
      </c>
      <c r="H71" s="47">
        <f t="shared" si="23"/>
        <v>25.989999999999995</v>
      </c>
      <c r="I71" s="47">
        <f t="shared" si="23"/>
        <v>14.630000000000003</v>
      </c>
      <c r="J71" s="47">
        <f t="shared" si="23"/>
        <v>8.3650000000000002</v>
      </c>
      <c r="K71" s="47">
        <f t="shared" si="23"/>
        <v>6.3110000000000008</v>
      </c>
      <c r="L71" s="47">
        <f t="shared" si="23"/>
        <v>5.1859999999999999</v>
      </c>
      <c r="M71" s="47">
        <f t="shared" si="23"/>
        <v>2.2709999999999999</v>
      </c>
    </row>
    <row r="74" spans="2:13" ht="15" customHeight="1" x14ac:dyDescent="0.25">
      <c r="B74" s="120" t="s">
        <v>266</v>
      </c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</row>
    <row r="75" spans="2:13" ht="15" customHeight="1" x14ac:dyDescent="0.25">
      <c r="B75" s="46" t="s">
        <v>211</v>
      </c>
      <c r="C75" s="46" t="s">
        <v>253</v>
      </c>
      <c r="D75" s="46" t="s">
        <v>30</v>
      </c>
      <c r="E75" s="46" t="s">
        <v>25</v>
      </c>
      <c r="F75" s="46" t="s">
        <v>44</v>
      </c>
      <c r="G75" s="46" t="s">
        <v>39</v>
      </c>
      <c r="H75" s="46" t="s">
        <v>58</v>
      </c>
      <c r="I75" s="46" t="s">
        <v>59</v>
      </c>
      <c r="J75" s="46" t="s">
        <v>60</v>
      </c>
      <c r="K75" s="46" t="s">
        <v>61</v>
      </c>
      <c r="L75" s="46" t="s">
        <v>62</v>
      </c>
      <c r="M75" s="46" t="s">
        <v>63</v>
      </c>
    </row>
    <row r="76" spans="2:13" ht="15" customHeight="1" x14ac:dyDescent="0.25">
      <c r="B76" s="24" t="s">
        <v>240</v>
      </c>
      <c r="C76" s="24" t="s">
        <v>267</v>
      </c>
      <c r="D76" s="24">
        <f t="shared" ref="D76:M76" si="24">D7*D34</f>
        <v>11.25</v>
      </c>
      <c r="E76" s="24">
        <f t="shared" si="24"/>
        <v>9</v>
      </c>
      <c r="F76" s="24">
        <f t="shared" si="24"/>
        <v>5.0000000000000018</v>
      </c>
      <c r="G76" s="24">
        <f t="shared" si="24"/>
        <v>3.5999999999999992</v>
      </c>
      <c r="H76" s="24">
        <f t="shared" si="24"/>
        <v>1.8000000000000007</v>
      </c>
      <c r="I76" s="24">
        <f t="shared" si="24"/>
        <v>0.90000000000000036</v>
      </c>
      <c r="J76" s="24">
        <f t="shared" si="24"/>
        <v>0.49999999999999989</v>
      </c>
      <c r="K76" s="24">
        <f t="shared" si="24"/>
        <v>0.49999999999999989</v>
      </c>
      <c r="L76" s="24">
        <f t="shared" si="24"/>
        <v>0.49999999999999989</v>
      </c>
      <c r="M76" s="24">
        <f t="shared" si="24"/>
        <v>0</v>
      </c>
    </row>
    <row r="77" spans="2:13" ht="15" customHeight="1" x14ac:dyDescent="0.25">
      <c r="B77" s="24" t="s">
        <v>241</v>
      </c>
      <c r="C77" s="24" t="s">
        <v>267</v>
      </c>
      <c r="D77" s="24">
        <f t="shared" ref="D77:M77" si="25">D8*D35</f>
        <v>7.0000000000000018</v>
      </c>
      <c r="E77" s="24">
        <f t="shared" si="25"/>
        <v>5.9999999999999982</v>
      </c>
      <c r="F77" s="24">
        <f t="shared" si="25"/>
        <v>2.600000000000001</v>
      </c>
      <c r="G77" s="24">
        <f t="shared" si="25"/>
        <v>1.5999999999999996</v>
      </c>
      <c r="H77" s="24">
        <f t="shared" si="25"/>
        <v>1.0000000000000004</v>
      </c>
      <c r="I77" s="24">
        <f t="shared" si="25"/>
        <v>0.59999999999999987</v>
      </c>
      <c r="J77" s="24">
        <f t="shared" si="25"/>
        <v>0.29999999999999993</v>
      </c>
      <c r="K77" s="24">
        <f t="shared" si="25"/>
        <v>0.29999999999999993</v>
      </c>
      <c r="L77" s="24">
        <f t="shared" si="25"/>
        <v>0</v>
      </c>
      <c r="M77" s="24">
        <f t="shared" si="25"/>
        <v>0</v>
      </c>
    </row>
    <row r="78" spans="2:13" ht="15" customHeight="1" x14ac:dyDescent="0.25">
      <c r="B78" s="24" t="s">
        <v>242</v>
      </c>
      <c r="C78" s="24" t="s">
        <v>267</v>
      </c>
      <c r="D78" s="24">
        <f t="shared" ref="D78:M78" si="26">D9*D36</f>
        <v>4.8000000000000007</v>
      </c>
      <c r="E78" s="24">
        <f t="shared" si="26"/>
        <v>9.7999999999999989</v>
      </c>
      <c r="F78" s="24">
        <f t="shared" si="26"/>
        <v>5.0999999999999988</v>
      </c>
      <c r="G78" s="24">
        <f t="shared" si="26"/>
        <v>3</v>
      </c>
      <c r="H78" s="24">
        <f t="shared" si="26"/>
        <v>1.5400000000000005</v>
      </c>
      <c r="I78" s="24">
        <f t="shared" si="26"/>
        <v>0.80499999999999994</v>
      </c>
      <c r="J78" s="24">
        <f t="shared" si="26"/>
        <v>0.49999999999999989</v>
      </c>
      <c r="K78" s="24">
        <f t="shared" si="26"/>
        <v>0.25999999999999995</v>
      </c>
      <c r="L78" s="24">
        <f t="shared" si="26"/>
        <v>0.25999999999999995</v>
      </c>
      <c r="M78" s="24">
        <f t="shared" si="26"/>
        <v>0.25999999999999995</v>
      </c>
    </row>
    <row r="79" spans="2:13" ht="15" customHeight="1" x14ac:dyDescent="0.25">
      <c r="B79" s="24" t="s">
        <v>243</v>
      </c>
      <c r="C79" s="24" t="s">
        <v>267</v>
      </c>
      <c r="D79" s="24">
        <f t="shared" ref="D79:M79" si="27">D10*D37</f>
        <v>1.5</v>
      </c>
      <c r="E79" s="24">
        <f t="shared" si="27"/>
        <v>8.3999999999999986</v>
      </c>
      <c r="F79" s="24">
        <f t="shared" si="27"/>
        <v>3.3999999999999995</v>
      </c>
      <c r="G79" s="24">
        <f t="shared" si="27"/>
        <v>1.8000000000000007</v>
      </c>
      <c r="H79" s="24">
        <f t="shared" si="27"/>
        <v>0.8500000000000002</v>
      </c>
      <c r="I79" s="24">
        <f t="shared" si="27"/>
        <v>0.42499999999999982</v>
      </c>
      <c r="J79" s="24">
        <f t="shared" si="27"/>
        <v>0.1949999999999999</v>
      </c>
      <c r="K79" s="24">
        <f t="shared" si="27"/>
        <v>0.1949999999999999</v>
      </c>
      <c r="L79" s="24">
        <f t="shared" si="27"/>
        <v>0.1949999999999999</v>
      </c>
      <c r="M79" s="24">
        <f t="shared" si="27"/>
        <v>0</v>
      </c>
    </row>
    <row r="80" spans="2:13" ht="15" customHeight="1" x14ac:dyDescent="0.25">
      <c r="B80" s="24" t="s">
        <v>244</v>
      </c>
      <c r="C80" s="24" t="s">
        <v>267</v>
      </c>
      <c r="D80" s="24">
        <f t="shared" ref="D80:M80" si="28">D11*D38</f>
        <v>1.9999999999999998</v>
      </c>
      <c r="E80" s="24">
        <f t="shared" si="28"/>
        <v>13</v>
      </c>
      <c r="F80" s="24">
        <f t="shared" si="28"/>
        <v>7</v>
      </c>
      <c r="G80" s="24">
        <f t="shared" si="28"/>
        <v>4.3999999999999986</v>
      </c>
      <c r="H80" s="24">
        <f t="shared" si="28"/>
        <v>2.4000000000000008</v>
      </c>
      <c r="I80" s="24">
        <f t="shared" si="28"/>
        <v>1.3999999999999997</v>
      </c>
      <c r="J80" s="24">
        <f t="shared" si="28"/>
        <v>0.70000000000000018</v>
      </c>
      <c r="K80" s="24">
        <f t="shared" si="28"/>
        <v>0.36000000000000015</v>
      </c>
      <c r="L80" s="24">
        <f t="shared" si="28"/>
        <v>0.36000000000000015</v>
      </c>
      <c r="M80" s="24">
        <f t="shared" si="28"/>
        <v>0.36000000000000015</v>
      </c>
    </row>
    <row r="82" spans="2:13" ht="15" customHeight="1" x14ac:dyDescent="0.25">
      <c r="B82" s="47" t="s">
        <v>268</v>
      </c>
      <c r="C82" s="47"/>
      <c r="D82" s="47">
        <f t="shared" ref="D82:M82" si="29">SUM(D76:D80)</f>
        <v>26.55</v>
      </c>
      <c r="E82" s="47">
        <f t="shared" si="29"/>
        <v>46.199999999999996</v>
      </c>
      <c r="F82" s="47">
        <f t="shared" si="29"/>
        <v>23.1</v>
      </c>
      <c r="G82" s="47">
        <f t="shared" si="29"/>
        <v>14.399999999999999</v>
      </c>
      <c r="H82" s="47">
        <f t="shared" si="29"/>
        <v>7.5900000000000034</v>
      </c>
      <c r="I82" s="47">
        <f t="shared" si="29"/>
        <v>4.13</v>
      </c>
      <c r="J82" s="47">
        <f t="shared" si="29"/>
        <v>2.1949999999999998</v>
      </c>
      <c r="K82" s="47">
        <f t="shared" si="29"/>
        <v>1.6149999999999998</v>
      </c>
      <c r="L82" s="47">
        <f t="shared" si="29"/>
        <v>1.3149999999999997</v>
      </c>
      <c r="M82" s="47">
        <f t="shared" si="29"/>
        <v>0.62000000000000011</v>
      </c>
    </row>
    <row r="85" spans="2:13" ht="15" customHeight="1" x14ac:dyDescent="0.25">
      <c r="B85" s="120" t="s">
        <v>269</v>
      </c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</row>
    <row r="86" spans="2:13" ht="15" customHeight="1" x14ac:dyDescent="0.25">
      <c r="B86" s="46" t="s">
        <v>270</v>
      </c>
      <c r="C86" s="46" t="s">
        <v>271</v>
      </c>
      <c r="D86" s="46" t="s">
        <v>30</v>
      </c>
      <c r="E86" s="46" t="s">
        <v>25</v>
      </c>
      <c r="F86" s="46" t="s">
        <v>44</v>
      </c>
      <c r="G86" s="46" t="s">
        <v>39</v>
      </c>
      <c r="H86" s="46" t="s">
        <v>58</v>
      </c>
      <c r="I86" s="46" t="s">
        <v>59</v>
      </c>
      <c r="J86" s="46" t="s">
        <v>60</v>
      </c>
      <c r="K86" s="46" t="s">
        <v>61</v>
      </c>
      <c r="L86" s="46" t="s">
        <v>62</v>
      </c>
      <c r="M86" s="46" t="s">
        <v>63</v>
      </c>
    </row>
    <row r="87" spans="2:13" ht="24.6" customHeight="1" x14ac:dyDescent="0.25">
      <c r="B87" s="47" t="s">
        <v>272</v>
      </c>
      <c r="C87" s="47" t="s">
        <v>273</v>
      </c>
      <c r="D87" s="47">
        <f t="shared" ref="D87:M87" si="30">SUM(D60,D82)</f>
        <v>74.75</v>
      </c>
      <c r="E87" s="47">
        <f t="shared" si="30"/>
        <v>120.94999999999999</v>
      </c>
      <c r="F87" s="47">
        <f t="shared" si="30"/>
        <v>47.790000000000006</v>
      </c>
      <c r="G87" s="47">
        <f t="shared" si="30"/>
        <v>25.659999999999997</v>
      </c>
      <c r="H87" s="47">
        <f t="shared" si="30"/>
        <v>12.010000000000003</v>
      </c>
      <c r="I87" s="47">
        <f t="shared" si="30"/>
        <v>5.87</v>
      </c>
      <c r="J87" s="47">
        <f t="shared" si="30"/>
        <v>2.9349999999999996</v>
      </c>
      <c r="K87" s="47">
        <f t="shared" si="30"/>
        <v>2.089</v>
      </c>
      <c r="L87" s="47">
        <f t="shared" si="30"/>
        <v>1.7139999999999997</v>
      </c>
      <c r="M87" s="47">
        <f t="shared" si="30"/>
        <v>0.82900000000000018</v>
      </c>
    </row>
    <row r="88" spans="2:13" ht="15" customHeight="1" x14ac:dyDescent="0.25">
      <c r="B88" s="47" t="s">
        <v>274</v>
      </c>
      <c r="C88" s="47" t="s">
        <v>275</v>
      </c>
      <c r="D88" s="47">
        <f t="shared" ref="D88:M88" si="31">D71</f>
        <v>26.25</v>
      </c>
      <c r="E88" s="47">
        <f t="shared" si="31"/>
        <v>89.050000000000011</v>
      </c>
      <c r="F88" s="47">
        <f t="shared" si="31"/>
        <v>59.210000000000008</v>
      </c>
      <c r="G88" s="47">
        <f t="shared" si="31"/>
        <v>43.34</v>
      </c>
      <c r="H88" s="47">
        <f t="shared" si="31"/>
        <v>25.989999999999995</v>
      </c>
      <c r="I88" s="47">
        <f t="shared" si="31"/>
        <v>14.630000000000003</v>
      </c>
      <c r="J88" s="47">
        <f t="shared" si="31"/>
        <v>8.3650000000000002</v>
      </c>
      <c r="K88" s="47">
        <f t="shared" si="31"/>
        <v>6.3110000000000008</v>
      </c>
      <c r="L88" s="47">
        <f t="shared" si="31"/>
        <v>5.1859999999999999</v>
      </c>
      <c r="M88" s="47">
        <f t="shared" si="31"/>
        <v>2.2709999999999999</v>
      </c>
    </row>
    <row r="89" spans="2:13" ht="15" customHeight="1" x14ac:dyDescent="0.25">
      <c r="B89" s="52" t="s">
        <v>103</v>
      </c>
      <c r="C89" s="52" t="s">
        <v>276</v>
      </c>
      <c r="D89" s="52">
        <f t="shared" ref="D89:M89" si="32">IFERROR(D88/D12,0)</f>
        <v>0.25990099009900991</v>
      </c>
      <c r="E89" s="52">
        <f t="shared" si="32"/>
        <v>0.42404761904761912</v>
      </c>
      <c r="F89" s="52">
        <f t="shared" si="32"/>
        <v>0.5533644859813085</v>
      </c>
      <c r="G89" s="52">
        <f t="shared" si="32"/>
        <v>0.62811594202898557</v>
      </c>
      <c r="H89" s="52">
        <f t="shared" si="32"/>
        <v>0.68394736842105253</v>
      </c>
      <c r="I89" s="52">
        <f t="shared" si="32"/>
        <v>0.71365853658536593</v>
      </c>
      <c r="J89" s="52">
        <f t="shared" si="32"/>
        <v>0.74026548672566372</v>
      </c>
      <c r="K89" s="52">
        <f t="shared" si="32"/>
        <v>0.75130952380952387</v>
      </c>
      <c r="L89" s="52">
        <f t="shared" si="32"/>
        <v>0.75159420289855072</v>
      </c>
      <c r="M89" s="52">
        <f t="shared" si="32"/>
        <v>0.73258064516129029</v>
      </c>
    </row>
    <row r="90" spans="2:13" ht="15" customHeight="1" x14ac:dyDescent="0.25">
      <c r="B90" s="47" t="s">
        <v>277</v>
      </c>
      <c r="C90" s="47" t="s">
        <v>278</v>
      </c>
      <c r="D90" s="47">
        <f ca="1">SUM(OFFSET(D$88,0,-MIN(COLUMN(D$88)-COLUMN($D$88),Assumptions!$C$58-1),1,MIN(COLUMN(D$88)-COLUMN($D$88)+1,Assumptions!$C$58)))/Assumptions!$C$58</f>
        <v>4.375</v>
      </c>
      <c r="E90" s="47">
        <f ca="1">SUM(OFFSET(E$88,0,-MIN(COLUMN(E$88)-COLUMN($D$88),Assumptions!$C$58-1),1,MIN(COLUMN(E$88)-COLUMN($D$88)+1,Assumptions!$C$58)))/Assumptions!$C$58</f>
        <v>19.216666666666669</v>
      </c>
      <c r="F90" s="47">
        <f ca="1">SUM(OFFSET(F$88,0,-MIN(COLUMN(F$88)-COLUMN($D$88),Assumptions!$C$58-1),1,MIN(COLUMN(F$88)-COLUMN($D$88)+1,Assumptions!$C$58)))/Assumptions!$C$58</f>
        <v>29.085000000000004</v>
      </c>
      <c r="G90" s="47">
        <f ca="1">SUM(OFFSET(G$88,0,-MIN(COLUMN(G$88)-COLUMN($D$88),Assumptions!$C$58-1),1,MIN(COLUMN(G$88)-COLUMN($D$88)+1,Assumptions!$C$58)))/Assumptions!$C$58</f>
        <v>36.308333333333337</v>
      </c>
      <c r="H90" s="47">
        <f ca="1">SUM(OFFSET(H$88,0,-MIN(COLUMN(H$88)-COLUMN($D$88),Assumptions!$C$58-1),1,MIN(COLUMN(H$88)-COLUMN($D$88)+1,Assumptions!$C$58)))/Assumptions!$C$58</f>
        <v>40.640000000000008</v>
      </c>
      <c r="I90" s="47">
        <f ca="1">SUM(OFFSET(I$88,0,-MIN(COLUMN(I$88)-COLUMN($D$88),Assumptions!$C$58-1),1,MIN(COLUMN(I$88)-COLUMN($D$88)+1,Assumptions!$C$58)))/Assumptions!$C$58</f>
        <v>43.07833333333334</v>
      </c>
      <c r="J90" s="47">
        <f ca="1">SUM(OFFSET(J$88,0,-MIN(COLUMN(J$88)-COLUMN($D$88),Assumptions!$C$58-1),1,MIN(COLUMN(J$88)-COLUMN($D$88)+1,Assumptions!$C$58)))/Assumptions!$C$58</f>
        <v>40.097500000000004</v>
      </c>
      <c r="K90" s="47">
        <f ca="1">SUM(OFFSET(K$88,0,-MIN(COLUMN(K$88)-COLUMN($D$88),Assumptions!$C$58-1),1,MIN(COLUMN(K$88)-COLUMN($D$88)+1,Assumptions!$C$58)))/Assumptions!$C$58</f>
        <v>26.307666666666673</v>
      </c>
      <c r="L90" s="47">
        <f ca="1">SUM(OFFSET(L$88,0,-MIN(COLUMN(L$88)-COLUMN($D$88),Assumptions!$C$58-1),1,MIN(COLUMN(L$88)-COLUMN($D$88)+1,Assumptions!$C$58)))/Assumptions!$C$58</f>
        <v>17.303666666666668</v>
      </c>
      <c r="M90" s="47">
        <f ca="1">SUM(OFFSET(M$88,0,-MIN(COLUMN(M$88)-COLUMN($D$88),Assumptions!$C$58-1),1,MIN(COLUMN(M$88)-COLUMN($D$88)+1,Assumptions!$C$58)))/Assumptions!$C$58</f>
        <v>10.458833333333333</v>
      </c>
    </row>
    <row r="91" spans="2:13" ht="15" customHeight="1" x14ac:dyDescent="0.25">
      <c r="B91" s="24" t="s">
        <v>279</v>
      </c>
      <c r="C91" s="24" t="s">
        <v>280</v>
      </c>
      <c r="D91" s="24">
        <f>SUM($D$88:D$88)</f>
        <v>26.25</v>
      </c>
      <c r="E91" s="24">
        <f>SUM($D$88:E$88)</f>
        <v>115.30000000000001</v>
      </c>
      <c r="F91" s="24">
        <f>SUM($D$88:F$88)</f>
        <v>174.51000000000002</v>
      </c>
      <c r="G91" s="24">
        <f>SUM($D$88:G$88)</f>
        <v>217.85000000000002</v>
      </c>
      <c r="H91" s="24">
        <f>SUM($D$88:H$88)</f>
        <v>243.84000000000003</v>
      </c>
      <c r="I91" s="24">
        <f>SUM($D$88:I$88)</f>
        <v>258.47000000000003</v>
      </c>
      <c r="J91" s="24">
        <f>SUM($D$88:J$88)</f>
        <v>266.83500000000004</v>
      </c>
      <c r="K91" s="24">
        <f>SUM($D$88:K$88)</f>
        <v>273.14600000000002</v>
      </c>
      <c r="L91" s="24">
        <f>SUM($D$88:L$88)</f>
        <v>278.33199999999999</v>
      </c>
      <c r="M91" s="24">
        <f>SUM($D$88:M$88)</f>
        <v>280.60300000000001</v>
      </c>
    </row>
    <row r="92" spans="2:13" ht="15" customHeight="1" x14ac:dyDescent="0.25">
      <c r="B92" s="24" t="s">
        <v>281</v>
      </c>
      <c r="C92" s="24" t="s">
        <v>282</v>
      </c>
      <c r="D92" s="24">
        <f ca="1">MIN(D91,SUM($D$90:D$90))</f>
        <v>4.375</v>
      </c>
      <c r="E92" s="24">
        <f ca="1">MIN(E91,SUM($D$90:E$90))</f>
        <v>23.591666666666669</v>
      </c>
      <c r="F92" s="24">
        <f ca="1">MIN(F91,SUM($D$90:F$90))</f>
        <v>52.676666666666677</v>
      </c>
      <c r="G92" s="24">
        <f ca="1">MIN(G91,SUM($D$90:G$90))</f>
        <v>88.985000000000014</v>
      </c>
      <c r="H92" s="24">
        <f ca="1">MIN(H91,SUM($D$90:H$90))</f>
        <v>129.62500000000003</v>
      </c>
      <c r="I92" s="24">
        <f ca="1">MIN(I91,SUM($D$90:I$90))</f>
        <v>172.70333333333338</v>
      </c>
      <c r="J92" s="24">
        <f ca="1">MIN(J91,SUM($D$90:J$90))</f>
        <v>212.80083333333337</v>
      </c>
      <c r="K92" s="24">
        <f ca="1">MIN(K91,SUM($D$90:K$90))</f>
        <v>239.10850000000005</v>
      </c>
      <c r="L92" s="24">
        <f ca="1">MIN(L91,SUM($D$90:L$90))</f>
        <v>256.41216666666674</v>
      </c>
      <c r="M92" s="24">
        <f ca="1">MIN(M91,SUM($D$90:M$90))</f>
        <v>266.87100000000009</v>
      </c>
    </row>
    <row r="93" spans="2:13" ht="15" customHeight="1" x14ac:dyDescent="0.25">
      <c r="B93" s="47" t="s">
        <v>107</v>
      </c>
      <c r="C93" s="47" t="s">
        <v>283</v>
      </c>
      <c r="D93" s="47">
        <f t="shared" ref="D93:M93" ca="1" si="33">D91-D92</f>
        <v>21.875</v>
      </c>
      <c r="E93" s="47">
        <f t="shared" ca="1" si="33"/>
        <v>91.708333333333343</v>
      </c>
      <c r="F93" s="47">
        <f t="shared" ca="1" si="33"/>
        <v>121.83333333333334</v>
      </c>
      <c r="G93" s="47">
        <f t="shared" ca="1" si="33"/>
        <v>128.86500000000001</v>
      </c>
      <c r="H93" s="47">
        <f t="shared" ca="1" si="33"/>
        <v>114.215</v>
      </c>
      <c r="I93" s="47">
        <f t="shared" ca="1" si="33"/>
        <v>85.766666666666652</v>
      </c>
      <c r="J93" s="47">
        <f t="shared" ca="1" si="33"/>
        <v>54.034166666666664</v>
      </c>
      <c r="K93" s="47">
        <f t="shared" ca="1" si="33"/>
        <v>34.037499999999966</v>
      </c>
      <c r="L93" s="47">
        <f t="shared" ca="1" si="33"/>
        <v>21.919833333333258</v>
      </c>
      <c r="M93" s="47">
        <f t="shared" ca="1" si="33"/>
        <v>13.731999999999914</v>
      </c>
    </row>
    <row r="94" spans="2:13" ht="15" customHeight="1" x14ac:dyDescent="0.25">
      <c r="B94" s="47" t="s">
        <v>284</v>
      </c>
      <c r="C94" s="47" t="s">
        <v>285</v>
      </c>
      <c r="D94" s="47">
        <f t="shared" ref="D94:M94" si="34">D60+D71+D82-D12</f>
        <v>0</v>
      </c>
      <c r="E94" s="47">
        <f t="shared" si="34"/>
        <v>0</v>
      </c>
      <c r="F94" s="47">
        <f t="shared" si="34"/>
        <v>0</v>
      </c>
      <c r="G94" s="47">
        <f t="shared" si="34"/>
        <v>0</v>
      </c>
      <c r="H94" s="47">
        <f t="shared" si="34"/>
        <v>0</v>
      </c>
      <c r="I94" s="47">
        <f t="shared" si="34"/>
        <v>0</v>
      </c>
      <c r="J94" s="47">
        <f t="shared" si="34"/>
        <v>0</v>
      </c>
      <c r="K94" s="47">
        <f t="shared" si="34"/>
        <v>0</v>
      </c>
      <c r="L94" s="47">
        <f t="shared" si="34"/>
        <v>0</v>
      </c>
      <c r="M94" s="47">
        <f t="shared" si="34"/>
        <v>0</v>
      </c>
    </row>
    <row r="97" spans="2:13" ht="15" customHeight="1" x14ac:dyDescent="0.25">
      <c r="B97" s="120" t="s">
        <v>286</v>
      </c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</row>
    <row r="98" spans="2:13" ht="15" customHeight="1" x14ac:dyDescent="0.25">
      <c r="B98" s="46" t="s">
        <v>270</v>
      </c>
      <c r="C98" s="46" t="s">
        <v>271</v>
      </c>
      <c r="D98" s="46" t="s">
        <v>30</v>
      </c>
      <c r="E98" s="46" t="s">
        <v>25</v>
      </c>
      <c r="F98" s="46" t="s">
        <v>44</v>
      </c>
      <c r="G98" s="46" t="s">
        <v>39</v>
      </c>
      <c r="H98" s="46" t="s">
        <v>58</v>
      </c>
      <c r="I98" s="46" t="s">
        <v>59</v>
      </c>
      <c r="J98" s="46" t="s">
        <v>60</v>
      </c>
      <c r="K98" s="46" t="s">
        <v>61</v>
      </c>
      <c r="L98" s="46" t="s">
        <v>62</v>
      </c>
      <c r="M98" s="46" t="s">
        <v>63</v>
      </c>
    </row>
    <row r="99" spans="2:13" ht="15" customHeight="1" x14ac:dyDescent="0.25">
      <c r="B99" s="24" t="s">
        <v>287</v>
      </c>
      <c r="C99" s="24" t="s">
        <v>288</v>
      </c>
      <c r="D99" s="24">
        <f ca="1">'R&amp;D_NRE'!D18</f>
        <v>4.375</v>
      </c>
      <c r="E99" s="24">
        <f ca="1">'R&amp;D_NRE'!E18</f>
        <v>19.216666666666669</v>
      </c>
      <c r="F99" s="24">
        <f ca="1">'R&amp;D_NRE'!F18</f>
        <v>29.085000000000004</v>
      </c>
      <c r="G99" s="24">
        <f ca="1">'R&amp;D_NRE'!G18</f>
        <v>36.308333333333337</v>
      </c>
      <c r="H99" s="24">
        <f ca="1">'R&amp;D_NRE'!H18</f>
        <v>40.640000000000008</v>
      </c>
      <c r="I99" s="24">
        <f ca="1">'R&amp;D_NRE'!I18</f>
        <v>43.07833333333334</v>
      </c>
      <c r="J99" s="24">
        <f ca="1">'R&amp;D_NRE'!J18</f>
        <v>40.097500000000004</v>
      </c>
      <c r="K99" s="24">
        <f ca="1">'R&amp;D_NRE'!K18</f>
        <v>26.307666666666673</v>
      </c>
      <c r="L99" s="24">
        <f ca="1">'R&amp;D_NRE'!L18</f>
        <v>17.303666666666668</v>
      </c>
      <c r="M99" s="24">
        <f ca="1">'R&amp;D_NRE'!M18</f>
        <v>10.458833333333333</v>
      </c>
    </row>
    <row r="100" spans="2:13" ht="15" customHeight="1" x14ac:dyDescent="0.25">
      <c r="B100" s="24" t="s">
        <v>289</v>
      </c>
      <c r="C100" s="24" t="s">
        <v>290</v>
      </c>
      <c r="D100" s="24">
        <f>'R&amp;D_NRE'!D16</f>
        <v>26.25</v>
      </c>
      <c r="E100" s="24">
        <f>'R&amp;D_NRE'!E16</f>
        <v>89.050000000000011</v>
      </c>
      <c r="F100" s="24">
        <f>'R&amp;D_NRE'!F16</f>
        <v>59.210000000000008</v>
      </c>
      <c r="G100" s="24">
        <f>'R&amp;D_NRE'!G16</f>
        <v>43.34</v>
      </c>
      <c r="H100" s="24">
        <f>'R&amp;D_NRE'!H16</f>
        <v>25.989999999999995</v>
      </c>
      <c r="I100" s="24">
        <f>'R&amp;D_NRE'!I16</f>
        <v>14.630000000000003</v>
      </c>
      <c r="J100" s="24">
        <f>'R&amp;D_NRE'!J16</f>
        <v>8.3650000000000002</v>
      </c>
      <c r="K100" s="24">
        <f>'R&amp;D_NRE'!K16</f>
        <v>6.3110000000000008</v>
      </c>
      <c r="L100" s="24">
        <f>'R&amp;D_NRE'!L16</f>
        <v>5.1859999999999999</v>
      </c>
      <c r="M100" s="24">
        <f>'R&amp;D_NRE'!M16</f>
        <v>2.2709999999999999</v>
      </c>
    </row>
    <row r="101" spans="2:13" ht="15" customHeight="1" x14ac:dyDescent="0.25">
      <c r="B101" s="24" t="s">
        <v>291</v>
      </c>
      <c r="C101" s="24" t="s">
        <v>292</v>
      </c>
      <c r="D101" s="24">
        <f ca="1">'P&amp;L'!C27+D99-D100</f>
        <v>-356.94325344305679</v>
      </c>
      <c r="E101" s="24">
        <f ca="1">'P&amp;L'!D27+E99-E100</f>
        <v>-425.54676959484271</v>
      </c>
      <c r="F101" s="24">
        <f ca="1">'P&amp;L'!E27+F99-F100</f>
        <v>-121.54261440352852</v>
      </c>
      <c r="G101" s="24">
        <f ca="1">'P&amp;L'!F27+G99-G100</f>
        <v>92.456419339264812</v>
      </c>
      <c r="H101" s="24">
        <f ca="1">'P&amp;L'!G27+H99-H100</f>
        <v>414.77777177313789</v>
      </c>
      <c r="I101" s="24">
        <f ca="1">'P&amp;L'!H27+I99-I100</f>
        <v>800.6414633283149</v>
      </c>
      <c r="J101" s="24">
        <f ca="1">'P&amp;L'!I27+J99-J100</f>
        <v>1167.7650606976215</v>
      </c>
      <c r="K101" s="24">
        <f ca="1">'P&amp;L'!J27+K99-K100</f>
        <v>1566.0274454071721</v>
      </c>
      <c r="L101" s="24">
        <f ca="1">'P&amp;L'!K27+L99-L100</f>
        <v>1940.9989846961173</v>
      </c>
      <c r="M101" s="24">
        <f ca="1">'P&amp;L'!L27+M99-M100</f>
        <v>2300.7147190532523</v>
      </c>
    </row>
    <row r="104" spans="2:13" ht="27.75" customHeight="1" x14ac:dyDescent="0.25">
      <c r="B104" s="45" t="s">
        <v>293</v>
      </c>
      <c r="C104" s="121" t="s">
        <v>294</v>
      </c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</row>
  </sheetData>
  <mergeCells count="13">
    <mergeCell ref="B2:M2"/>
    <mergeCell ref="C3:M3"/>
    <mergeCell ref="B5:M5"/>
    <mergeCell ref="B14:M14"/>
    <mergeCell ref="B23:M23"/>
    <mergeCell ref="B85:M85"/>
    <mergeCell ref="B97:M97"/>
    <mergeCell ref="C104:M104"/>
    <mergeCell ref="B32:M32"/>
    <mergeCell ref="B41:M41"/>
    <mergeCell ref="B52:M52"/>
    <mergeCell ref="B63:M63"/>
    <mergeCell ref="B74:M7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N49"/>
  <sheetViews>
    <sheetView showGridLines="0" zoomScaleNormal="100" workbookViewId="0">
      <pane xSplit="3" ySplit="4" topLeftCell="D32" activePane="bottomRight" state="frozen"/>
      <selection pane="topRight" activeCell="D1" sqref="D1"/>
      <selection pane="bottomLeft" activeCell="A32" sqref="A32"/>
      <selection pane="bottomRight" activeCell="R43" sqref="R43"/>
    </sheetView>
  </sheetViews>
  <sheetFormatPr defaultColWidth="8.7109375" defaultRowHeight="15" x14ac:dyDescent="0.25"/>
  <cols>
    <col min="1" max="1" width="10" style="53" customWidth="1"/>
    <col min="2" max="2" width="32" customWidth="1"/>
    <col min="3" max="3" width="17.85546875" style="53" customWidth="1"/>
    <col min="4" max="13" width="13" customWidth="1"/>
  </cols>
  <sheetData>
    <row r="2" spans="2:14" ht="24" customHeight="1" x14ac:dyDescent="0.25">
      <c r="B2" s="108" t="s">
        <v>295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4" spans="2:14" ht="21.75" customHeight="1" x14ac:dyDescent="0.25">
      <c r="B4" s="109" t="s">
        <v>296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2:14" ht="23.25" customHeight="1" x14ac:dyDescent="0.25">
      <c r="B5" s="3" t="s">
        <v>18</v>
      </c>
      <c r="C5" s="54" t="s">
        <v>297</v>
      </c>
      <c r="D5" s="55" t="s">
        <v>298</v>
      </c>
      <c r="E5" s="55" t="s">
        <v>299</v>
      </c>
      <c r="F5" s="55" t="s">
        <v>300</v>
      </c>
      <c r="G5" s="55" t="s">
        <v>301</v>
      </c>
      <c r="H5" s="3" t="s">
        <v>302</v>
      </c>
    </row>
    <row r="6" spans="2:14" ht="15" customHeight="1" x14ac:dyDescent="0.25">
      <c r="B6" s="56" t="s">
        <v>303</v>
      </c>
      <c r="C6" s="57">
        <v>0.45</v>
      </c>
      <c r="D6" s="58">
        <v>0.25</v>
      </c>
      <c r="E6" s="58">
        <v>0.2</v>
      </c>
      <c r="F6" s="58">
        <v>0.08</v>
      </c>
      <c r="G6" s="58">
        <v>0.02</v>
      </c>
      <c r="H6" s="59">
        <f t="shared" ref="H6:H11" si="0">SUM(C6:G6)</f>
        <v>0.99999999999999989</v>
      </c>
    </row>
    <row r="7" spans="2:14" ht="15" customHeight="1" x14ac:dyDescent="0.25">
      <c r="B7" s="56" t="s">
        <v>304</v>
      </c>
      <c r="C7" s="57">
        <v>0.4</v>
      </c>
      <c r="D7" s="58">
        <v>0.3</v>
      </c>
      <c r="E7" s="58">
        <v>0.15</v>
      </c>
      <c r="F7" s="58">
        <v>0.1</v>
      </c>
      <c r="G7" s="58">
        <v>0.05</v>
      </c>
      <c r="H7" s="59">
        <f t="shared" si="0"/>
        <v>1</v>
      </c>
    </row>
    <row r="8" spans="2:14" ht="15" customHeight="1" x14ac:dyDescent="0.25">
      <c r="B8" s="60" t="s">
        <v>305</v>
      </c>
      <c r="C8" s="57">
        <v>0.25</v>
      </c>
      <c r="D8" s="58">
        <v>0.2</v>
      </c>
      <c r="E8" s="58">
        <v>0.15</v>
      </c>
      <c r="F8" s="58">
        <v>0.15</v>
      </c>
      <c r="G8" s="58">
        <v>0.25</v>
      </c>
      <c r="H8" s="59">
        <f t="shared" si="0"/>
        <v>1</v>
      </c>
    </row>
    <row r="9" spans="2:14" ht="15" customHeight="1" x14ac:dyDescent="0.25">
      <c r="B9" s="56" t="s">
        <v>306</v>
      </c>
      <c r="C9" s="57">
        <v>0.05</v>
      </c>
      <c r="D9" s="58">
        <v>0.1</v>
      </c>
      <c r="E9" s="58">
        <v>0.4</v>
      </c>
      <c r="F9" s="58">
        <v>0.25</v>
      </c>
      <c r="G9" s="58">
        <v>0.2</v>
      </c>
      <c r="H9" s="59">
        <f t="shared" si="0"/>
        <v>1</v>
      </c>
    </row>
    <row r="10" spans="2:14" ht="15" customHeight="1" x14ac:dyDescent="0.25">
      <c r="B10" s="61" t="s">
        <v>307</v>
      </c>
      <c r="C10" s="57">
        <v>0.05</v>
      </c>
      <c r="D10" s="58">
        <v>0.1</v>
      </c>
      <c r="E10" s="58">
        <v>0.35</v>
      </c>
      <c r="F10" s="58">
        <v>0.25</v>
      </c>
      <c r="G10" s="58">
        <v>0.25</v>
      </c>
      <c r="H10" s="59">
        <f t="shared" si="0"/>
        <v>1</v>
      </c>
    </row>
    <row r="11" spans="2:14" ht="15" customHeight="1" x14ac:dyDescent="0.25">
      <c r="B11" s="62" t="s">
        <v>308</v>
      </c>
      <c r="C11" s="57">
        <v>0</v>
      </c>
      <c r="D11" s="58">
        <v>0.1</v>
      </c>
      <c r="E11" s="58">
        <v>0.05</v>
      </c>
      <c r="F11" s="58">
        <v>0.25</v>
      </c>
      <c r="G11" s="58">
        <v>0.6</v>
      </c>
      <c r="H11" s="59">
        <f t="shared" si="0"/>
        <v>1</v>
      </c>
    </row>
    <row r="13" spans="2:14" ht="21.75" customHeight="1" x14ac:dyDescent="0.25">
      <c r="B13" s="110" t="s">
        <v>309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</row>
    <row r="14" spans="2:14" ht="15" customHeight="1" x14ac:dyDescent="0.25">
      <c r="B14" s="9" t="s">
        <v>18</v>
      </c>
      <c r="C14" s="9"/>
      <c r="D14" s="10" t="s">
        <v>30</v>
      </c>
      <c r="E14" s="10" t="s">
        <v>25</v>
      </c>
      <c r="F14" s="10" t="s">
        <v>44</v>
      </c>
      <c r="G14" s="10" t="s">
        <v>39</v>
      </c>
      <c r="H14" s="10" t="s">
        <v>58</v>
      </c>
      <c r="I14" s="10" t="s">
        <v>59</v>
      </c>
      <c r="J14" s="10" t="s">
        <v>60</v>
      </c>
      <c r="K14" s="10" t="s">
        <v>61</v>
      </c>
      <c r="L14" s="10" t="s">
        <v>62</v>
      </c>
      <c r="M14" s="10" t="s">
        <v>63</v>
      </c>
    </row>
    <row r="15" spans="2:14" ht="15" customHeight="1" x14ac:dyDescent="0.25">
      <c r="B15" s="56" t="s">
        <v>303</v>
      </c>
      <c r="D15" s="13">
        <f>C6*Platform!D21+D6*Platform!D22+E6*Platform!D23+F6*Platform!D24+G6*Platform!D25</f>
        <v>0.52250000000000008</v>
      </c>
      <c r="E15" s="13">
        <f>C6*Platform!E21+D6*Platform!E22+E6*Platform!E23+F6*Platform!E24+G6*Platform!E25</f>
        <v>0.68849999999999989</v>
      </c>
      <c r="F15" s="13">
        <f>C6*Platform!F21+D6*Platform!F22+E6*Platform!F23+F6*Platform!F24+G6*Platform!F25</f>
        <v>0.81190000000000007</v>
      </c>
      <c r="G15" s="13">
        <f>C6*Platform!G21+D6*Platform!G22+E6*Platform!G23+F6*Platform!G24+G6*Platform!G25</f>
        <v>0.8911</v>
      </c>
      <c r="H15" s="13">
        <f>C6*Platform!H21+D6*Platform!H22+E6*Platform!H23+F6*Platform!H24+G6*Platform!H25</f>
        <v>0.93570000000000009</v>
      </c>
      <c r="I15" s="13">
        <f>C6*Platform!I21+D6*Platform!I22+E6*Platform!I23+F6*Platform!I24+G6*Platform!I25</f>
        <v>0.95810000000000006</v>
      </c>
      <c r="J15" s="13">
        <f>C6*Platform!J21+D6*Platform!J22+E6*Platform!J23+F6*Platform!J24+G6*Platform!J25</f>
        <v>0.97029999999999994</v>
      </c>
      <c r="K15" s="13">
        <f>C6*Platform!K21+D6*Platform!K22+E6*Platform!K23+F6*Platform!K24+G6*Platform!K25</f>
        <v>0.98030000000000006</v>
      </c>
      <c r="L15" s="13">
        <f>C6*Platform!L21+D6*Platform!L22+E6*Platform!L23+F6*Platform!L24+G6*Platform!L25</f>
        <v>0.98780000000000001</v>
      </c>
      <c r="M15" s="13">
        <f>C6*Platform!M21+D6*Platform!M22+E6*Platform!M23+F6*Platform!M24+G6*Platform!M25</f>
        <v>0.9900000000000001</v>
      </c>
    </row>
    <row r="16" spans="2:14" ht="15" customHeight="1" x14ac:dyDescent="0.25">
      <c r="B16" s="56" t="s">
        <v>304</v>
      </c>
      <c r="D16" s="13">
        <f>C7*Platform!D21+D7*Platform!D22+E7*Platform!D23+F7*Platform!D24+G7*Platform!D25</f>
        <v>0.52249999999999996</v>
      </c>
      <c r="E16" s="13">
        <f>C7*Platform!E21+D7*Platform!E22+E7*Platform!E23+F7*Platform!E24+G7*Platform!E25</f>
        <v>0.68999999999999984</v>
      </c>
      <c r="F16" s="13">
        <f>C7*Platform!F21+D7*Platform!F22+E7*Platform!F23+F7*Platform!F24+G7*Platform!F25</f>
        <v>0.8135</v>
      </c>
      <c r="G16" s="13">
        <f>C7*Platform!G21+D7*Platform!G22+E7*Platform!G23+F7*Platform!G24+G7*Platform!G25</f>
        <v>0.8919999999999999</v>
      </c>
      <c r="H16" s="13">
        <f>C7*Platform!H21+D7*Platform!H22+E7*Platform!H23+F7*Platform!H24+G7*Platform!H25</f>
        <v>0.93650000000000011</v>
      </c>
      <c r="I16" s="13">
        <f>C7*Platform!I21+D7*Platform!I22+E7*Platform!I23+F7*Platform!I24+G7*Platform!I25</f>
        <v>0.95900000000000007</v>
      </c>
      <c r="J16" s="13">
        <f>C7*Platform!J21+D7*Platform!J22+E7*Platform!J23+F7*Platform!J24+G7*Platform!J25</f>
        <v>0.97099999999999997</v>
      </c>
      <c r="K16" s="13">
        <f>C7*Platform!K21+D7*Platform!K22+E7*Platform!K23+F7*Platform!K24+G7*Platform!K25</f>
        <v>0.98099999999999998</v>
      </c>
      <c r="L16" s="13">
        <f>C7*Platform!L21+D7*Platform!L22+E7*Platform!L23+F7*Platform!L24+G7*Platform!L25</f>
        <v>0.9880000000000001</v>
      </c>
      <c r="M16" s="13">
        <f>C7*Platform!M21+D7*Platform!M22+E7*Platform!M23+F7*Platform!M24+G7*Platform!M25</f>
        <v>0.99</v>
      </c>
    </row>
    <row r="17" spans="1:14" ht="15" customHeight="1" x14ac:dyDescent="0.25">
      <c r="B17" s="60" t="s">
        <v>305</v>
      </c>
      <c r="D17" s="13">
        <f>C8*Platform!D21+D8*Platform!D22+E8*Platform!D23+F8*Platform!D24+G8*Platform!D25</f>
        <v>0.45500000000000002</v>
      </c>
      <c r="E17" s="13">
        <f>C8*Platform!E21+D8*Platform!E22+E8*Platform!E23+F8*Platform!E24+G8*Platform!E25</f>
        <v>0.64500000000000002</v>
      </c>
      <c r="F17" s="13">
        <f>C8*Platform!F21+D8*Platform!F22+E8*Platform!F23+F8*Platform!F24+G8*Platform!F25</f>
        <v>0.78699999999999992</v>
      </c>
      <c r="G17" s="13">
        <f>C8*Platform!G21+D8*Platform!G22+E8*Platform!G23+F8*Platform!G24+G8*Platform!G25</f>
        <v>0.877</v>
      </c>
      <c r="H17" s="13">
        <f>C8*Platform!H21+D8*Platform!H22+E8*Platform!H23+F8*Platform!H24+G8*Platform!H25</f>
        <v>0.92749999999999999</v>
      </c>
      <c r="I17" s="13">
        <f>C8*Platform!I21+D8*Platform!I22+E8*Platform!I23+F8*Platform!I24+G8*Platform!I25</f>
        <v>0.95399999999999996</v>
      </c>
      <c r="J17" s="13">
        <f>C8*Platform!J21+D8*Platform!J22+E8*Platform!J23+F8*Platform!J24+G8*Platform!J25</f>
        <v>0.96799999999999997</v>
      </c>
      <c r="K17" s="13">
        <f>C8*Platform!K21+D8*Platform!K22+E8*Platform!K23+F8*Platform!K24+G8*Platform!K25</f>
        <v>0.97799999999999998</v>
      </c>
      <c r="L17" s="13">
        <f>C8*Platform!L21+D8*Platform!L22+E8*Platform!L23+F8*Platform!L24+G8*Platform!L25</f>
        <v>0.98599999999999999</v>
      </c>
      <c r="M17" s="13">
        <f>C8*Platform!M21+D8*Platform!M22+E8*Platform!M23+F8*Platform!M24+G8*Platform!M25</f>
        <v>0.99</v>
      </c>
    </row>
    <row r="18" spans="1:14" ht="15" customHeight="1" x14ac:dyDescent="0.25">
      <c r="B18" s="56" t="s">
        <v>306</v>
      </c>
      <c r="D18" s="13">
        <f>C9*Platform!D21+D9*Platform!D22+E9*Platform!D23+F9*Platform!D24+G9*Platform!D25</f>
        <v>0.42250000000000004</v>
      </c>
      <c r="E18" s="13">
        <f>C9*Platform!E21+D9*Platform!E22+E9*Platform!E23+F9*Platform!E24+G9*Platform!E25</f>
        <v>0.62499999999999989</v>
      </c>
      <c r="F18" s="13">
        <f>C9*Platform!F21+D9*Platform!F22+E9*Platform!F23+F9*Platform!F24+G9*Platform!F25</f>
        <v>0.77350000000000008</v>
      </c>
      <c r="G18" s="13">
        <f>C9*Platform!G21+D9*Platform!G22+E9*Platform!G23+F9*Platform!G24+G9*Platform!G25</f>
        <v>0.8670000000000001</v>
      </c>
      <c r="H18" s="13">
        <f>C9*Platform!H21+D9*Platform!H22+E9*Platform!H23+F9*Platform!H24+G9*Platform!H25</f>
        <v>0.92100000000000004</v>
      </c>
      <c r="I18" s="13">
        <f>C9*Platform!I21+D9*Platform!I22+E9*Platform!I23+F9*Platform!I24+G9*Platform!I25</f>
        <v>0.94900000000000007</v>
      </c>
      <c r="J18" s="13">
        <f>C9*Platform!J21+D9*Platform!J22+E9*Platform!J23+F9*Platform!J24+G9*Platform!J25</f>
        <v>0.96499999999999986</v>
      </c>
      <c r="K18" s="13">
        <f>C9*Platform!K21+D9*Platform!K22+E9*Platform!K23+F9*Platform!K24+G9*Platform!K25</f>
        <v>0.97500000000000009</v>
      </c>
      <c r="L18" s="13">
        <f>C9*Platform!L21+D9*Platform!L22+E9*Platform!L23+F9*Platform!L24+G9*Platform!L25</f>
        <v>0.98399999999999999</v>
      </c>
      <c r="M18" s="13">
        <f>C9*Platform!M21+D9*Platform!M22+E9*Platform!M23+F9*Platform!M24+G9*Platform!M25</f>
        <v>0.99</v>
      </c>
    </row>
    <row r="19" spans="1:14" ht="15" customHeight="1" x14ac:dyDescent="0.25">
      <c r="B19" s="61" t="s">
        <v>307</v>
      </c>
      <c r="D19" s="13">
        <f>C10*Platform!D21+D10*Platform!D22+E10*Platform!D23+F10*Platform!D24+G10*Platform!D25</f>
        <v>0.41499999999999998</v>
      </c>
      <c r="E19" s="13">
        <f>C10*Platform!E21+D10*Platform!E22+E10*Platform!E23+F10*Platform!E24+G10*Platform!E25</f>
        <v>0.62</v>
      </c>
      <c r="F19" s="13">
        <f>C10*Platform!F21+D10*Platform!F22+E10*Platform!F23+F10*Platform!F24+G10*Platform!F25</f>
        <v>0.77099999999999991</v>
      </c>
      <c r="G19" s="13">
        <f>C10*Platform!G21+D10*Platform!G22+E10*Platform!G23+F10*Platform!G24+G10*Platform!G25</f>
        <v>0.86599999999999999</v>
      </c>
      <c r="H19" s="13">
        <f>C10*Platform!H21+D10*Platform!H22+E10*Platform!H23+F10*Platform!H24+G10*Platform!H25</f>
        <v>0.92049999999999998</v>
      </c>
      <c r="I19" s="13">
        <f>C10*Platform!I21+D10*Platform!I22+E10*Platform!I23+F10*Platform!I24+G10*Platform!I25</f>
        <v>0.94899999999999995</v>
      </c>
      <c r="J19" s="13">
        <f>C10*Platform!J21+D10*Platform!J22+E10*Platform!J23+F10*Platform!J24+G10*Platform!J25</f>
        <v>0.96499999999999997</v>
      </c>
      <c r="K19" s="13">
        <f>C10*Platform!K21+D10*Platform!K22+E10*Platform!K23+F10*Platform!K24+G10*Platform!K25</f>
        <v>0.97499999999999987</v>
      </c>
      <c r="L19" s="13">
        <f>C10*Platform!L21+D10*Platform!L22+E10*Platform!L23+F10*Platform!L24+G10*Platform!L25</f>
        <v>0.98399999999999999</v>
      </c>
      <c r="M19" s="13">
        <f>C10*Platform!M21+D10*Platform!M22+E10*Platform!M23+F10*Platform!M24+G10*Platform!M25</f>
        <v>0.99</v>
      </c>
    </row>
    <row r="20" spans="1:14" ht="15" customHeight="1" x14ac:dyDescent="0.25">
      <c r="B20" s="62" t="s">
        <v>308</v>
      </c>
      <c r="D20" s="13">
        <f>C11*Platform!D21+D11*Platform!D22+E11*Platform!D23+F11*Platform!D24+G11*Platform!D25</f>
        <v>0.35499999999999998</v>
      </c>
      <c r="E20" s="13">
        <f>C11*Platform!E21+D11*Platform!E22+E11*Platform!E23+F11*Platform!E24+G11*Platform!E25</f>
        <v>0.58000000000000007</v>
      </c>
      <c r="F20" s="13">
        <f>C11*Platform!F21+D11*Platform!F22+E11*Platform!F23+F11*Platform!F24+G11*Platform!F25</f>
        <v>0.75</v>
      </c>
      <c r="G20" s="13">
        <f>C11*Platform!G21+D11*Platform!G22+E11*Platform!G23+F11*Platform!G24+G11*Platform!G25</f>
        <v>0.85650000000000004</v>
      </c>
      <c r="H20" s="13">
        <f>C11*Platform!H21+D11*Platform!H22+E11*Platform!H23+F11*Platform!H24+G11*Platform!H25</f>
        <v>0.91549999999999998</v>
      </c>
      <c r="I20" s="13">
        <f>C11*Platform!I21+D11*Platform!I22+E11*Platform!I23+F11*Platform!I24+G11*Platform!I25</f>
        <v>0.94799999999999995</v>
      </c>
      <c r="J20" s="13">
        <f>C11*Platform!J21+D11*Platform!J22+E11*Platform!J23+F11*Platform!J24+G11*Platform!J25</f>
        <v>0.96449999999999991</v>
      </c>
      <c r="K20" s="13">
        <f>C11*Platform!K21+D11*Platform!K22+E11*Platform!K23+F11*Platform!K24+G11*Platform!K25</f>
        <v>0.97449999999999992</v>
      </c>
      <c r="L20" s="13">
        <f>C11*Platform!L21+D11*Platform!L22+E11*Platform!L23+F11*Platform!L24+G11*Platform!L25</f>
        <v>0.98350000000000004</v>
      </c>
      <c r="M20" s="13">
        <f>C11*Platform!M21+D11*Platform!M22+E11*Platform!M23+F11*Platform!M24+G11*Platform!M25</f>
        <v>0.99</v>
      </c>
    </row>
    <row r="22" spans="1:14" ht="21.75" customHeight="1" x14ac:dyDescent="0.25">
      <c r="B22" s="110" t="s">
        <v>310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</row>
    <row r="23" spans="1:14" ht="15" customHeight="1" x14ac:dyDescent="0.25">
      <c r="B23" s="9" t="s">
        <v>311</v>
      </c>
      <c r="C23" s="9" t="s">
        <v>312</v>
      </c>
      <c r="D23" s="10" t="s">
        <v>30</v>
      </c>
      <c r="E23" s="10" t="s">
        <v>25</v>
      </c>
      <c r="F23" s="10" t="s">
        <v>44</v>
      </c>
      <c r="G23" s="10" t="s">
        <v>39</v>
      </c>
      <c r="H23" s="10" t="s">
        <v>58</v>
      </c>
      <c r="I23" s="10" t="s">
        <v>59</v>
      </c>
      <c r="J23" s="10" t="s">
        <v>60</v>
      </c>
      <c r="K23" s="10" t="s">
        <v>61</v>
      </c>
      <c r="L23" s="10" t="s">
        <v>62</v>
      </c>
      <c r="M23" s="10" t="s">
        <v>63</v>
      </c>
    </row>
    <row r="24" spans="1:14" ht="23.25" customHeight="1" x14ac:dyDescent="0.25">
      <c r="B24" s="4" t="s">
        <v>313</v>
      </c>
      <c r="C24" s="42" t="s">
        <v>314</v>
      </c>
      <c r="D24" s="40">
        <v>62.7</v>
      </c>
      <c r="E24" s="40">
        <v>62.7</v>
      </c>
      <c r="F24" s="40">
        <v>37.619999999999997</v>
      </c>
      <c r="G24" s="40">
        <v>20.9</v>
      </c>
      <c r="H24" s="40">
        <v>10.45</v>
      </c>
      <c r="I24" s="40">
        <v>6.27</v>
      </c>
      <c r="J24" s="40">
        <v>4.18</v>
      </c>
      <c r="K24" s="40">
        <v>2.09</v>
      </c>
      <c r="L24" s="40">
        <v>1.0449999999999999</v>
      </c>
      <c r="M24" s="40">
        <v>1.0449999999999999</v>
      </c>
    </row>
    <row r="25" spans="1:14" ht="75.75" customHeight="1" x14ac:dyDescent="0.25">
      <c r="A25" s="53" t="s">
        <v>23</v>
      </c>
      <c r="B25" s="56" t="s">
        <v>315</v>
      </c>
      <c r="C25" s="63" t="s">
        <v>316</v>
      </c>
      <c r="D25" s="12">
        <f t="shared" ref="D25:M25" si="1">D24*(1-D15)</f>
        <v>29.939249999999998</v>
      </c>
      <c r="E25" s="12">
        <f t="shared" si="1"/>
        <v>19.531050000000008</v>
      </c>
      <c r="F25" s="12">
        <f t="shared" si="1"/>
        <v>7.0763219999999967</v>
      </c>
      <c r="G25" s="12">
        <f t="shared" si="1"/>
        <v>2.2760099999999999</v>
      </c>
      <c r="H25" s="12">
        <f t="shared" si="1"/>
        <v>0.67193499999999906</v>
      </c>
      <c r="I25" s="12">
        <f t="shared" si="1"/>
        <v>0.26271299999999959</v>
      </c>
      <c r="J25" s="12">
        <f t="shared" si="1"/>
        <v>0.12414600000000024</v>
      </c>
      <c r="K25" s="12">
        <f t="shared" si="1"/>
        <v>4.1172999999999869E-2</v>
      </c>
      <c r="L25" s="12">
        <f t="shared" si="1"/>
        <v>1.2748999999999988E-2</v>
      </c>
      <c r="M25" s="12">
        <f t="shared" si="1"/>
        <v>1.0449999999999893E-2</v>
      </c>
    </row>
    <row r="26" spans="1:14" ht="15" customHeight="1" x14ac:dyDescent="0.25">
      <c r="B26" s="42" t="s">
        <v>317</v>
      </c>
      <c r="D26" s="14">
        <f t="shared" ref="D26:M26" si="2">D24-D25</f>
        <v>32.760750000000002</v>
      </c>
      <c r="E26" s="14">
        <f t="shared" si="2"/>
        <v>43.168949999999995</v>
      </c>
      <c r="F26" s="14">
        <f t="shared" si="2"/>
        <v>30.543678</v>
      </c>
      <c r="G26" s="14">
        <f t="shared" si="2"/>
        <v>18.623989999999999</v>
      </c>
      <c r="H26" s="14">
        <f t="shared" si="2"/>
        <v>9.7780649999999998</v>
      </c>
      <c r="I26" s="14">
        <f t="shared" si="2"/>
        <v>6.0072869999999998</v>
      </c>
      <c r="J26" s="14">
        <f t="shared" si="2"/>
        <v>4.0558539999999992</v>
      </c>
      <c r="K26" s="14">
        <f t="shared" si="2"/>
        <v>2.0488270000000002</v>
      </c>
      <c r="L26" s="14">
        <f t="shared" si="2"/>
        <v>1.032251</v>
      </c>
      <c r="M26" s="14">
        <f t="shared" si="2"/>
        <v>1.0345500000000001</v>
      </c>
    </row>
    <row r="27" spans="1:14" ht="23.25" customHeight="1" x14ac:dyDescent="0.25">
      <c r="B27" s="4" t="s">
        <v>318</v>
      </c>
      <c r="C27" s="42" t="s">
        <v>319</v>
      </c>
      <c r="D27" s="40">
        <v>45.6</v>
      </c>
      <c r="E27" s="40">
        <v>34.200000000000003</v>
      </c>
      <c r="F27" s="40">
        <v>17.100000000000001</v>
      </c>
      <c r="G27" s="40">
        <v>7.98</v>
      </c>
      <c r="H27" s="40">
        <v>4.5599999999999996</v>
      </c>
      <c r="I27" s="40">
        <v>2.2799999999999998</v>
      </c>
      <c r="J27" s="40">
        <v>1.1399999999999999</v>
      </c>
      <c r="K27" s="40">
        <v>0.56999999999999995</v>
      </c>
      <c r="L27" s="40">
        <v>0.56999999999999995</v>
      </c>
      <c r="M27" s="40">
        <v>0</v>
      </c>
    </row>
    <row r="28" spans="1:14" ht="57.75" customHeight="1" x14ac:dyDescent="0.25">
      <c r="A28" s="53" t="s">
        <v>320</v>
      </c>
      <c r="B28" s="56" t="s">
        <v>315</v>
      </c>
      <c r="C28" s="63" t="s">
        <v>321</v>
      </c>
      <c r="D28" s="12">
        <f t="shared" ref="D28:M28" si="3">D27*(1-D16)</f>
        <v>21.774000000000001</v>
      </c>
      <c r="E28" s="12">
        <f t="shared" si="3"/>
        <v>10.602000000000006</v>
      </c>
      <c r="F28" s="12">
        <f t="shared" si="3"/>
        <v>3.1891500000000002</v>
      </c>
      <c r="G28" s="12">
        <f t="shared" si="3"/>
        <v>0.86184000000000083</v>
      </c>
      <c r="H28" s="12">
        <f t="shared" si="3"/>
        <v>0.28955999999999948</v>
      </c>
      <c r="I28" s="12">
        <f t="shared" si="3"/>
        <v>9.3479999999999827E-2</v>
      </c>
      <c r="J28" s="12">
        <f t="shared" si="3"/>
        <v>3.3060000000000027E-2</v>
      </c>
      <c r="K28" s="12">
        <f t="shared" si="3"/>
        <v>1.0830000000000008E-2</v>
      </c>
      <c r="L28" s="12">
        <f t="shared" si="3"/>
        <v>6.8399999999999425E-3</v>
      </c>
      <c r="M28" s="12">
        <f t="shared" si="3"/>
        <v>0</v>
      </c>
    </row>
    <row r="29" spans="1:14" ht="15" customHeight="1" x14ac:dyDescent="0.25">
      <c r="B29" s="42" t="s">
        <v>322</v>
      </c>
      <c r="D29" s="14">
        <f t="shared" ref="D29:M29" si="4">D27-D28</f>
        <v>23.826000000000001</v>
      </c>
      <c r="E29" s="14">
        <f t="shared" si="4"/>
        <v>23.597999999999999</v>
      </c>
      <c r="F29" s="14">
        <f t="shared" si="4"/>
        <v>13.910850000000002</v>
      </c>
      <c r="G29" s="14">
        <f t="shared" si="4"/>
        <v>7.1181599999999996</v>
      </c>
      <c r="H29" s="14">
        <f t="shared" si="4"/>
        <v>4.2704399999999998</v>
      </c>
      <c r="I29" s="14">
        <f t="shared" si="4"/>
        <v>2.1865199999999998</v>
      </c>
      <c r="J29" s="14">
        <f t="shared" si="4"/>
        <v>1.1069399999999998</v>
      </c>
      <c r="K29" s="14">
        <f t="shared" si="4"/>
        <v>0.55916999999999994</v>
      </c>
      <c r="L29" s="14">
        <f t="shared" si="4"/>
        <v>0.56315999999999999</v>
      </c>
      <c r="M29" s="14">
        <f t="shared" si="4"/>
        <v>0</v>
      </c>
    </row>
    <row r="30" spans="1:14" ht="23.25" customHeight="1" x14ac:dyDescent="0.25">
      <c r="B30" s="6" t="s">
        <v>323</v>
      </c>
      <c r="C30" s="42" t="s">
        <v>324</v>
      </c>
      <c r="D30" s="40">
        <v>38</v>
      </c>
      <c r="E30" s="40">
        <v>45.6</v>
      </c>
      <c r="F30" s="40">
        <v>30.4</v>
      </c>
      <c r="G30" s="40">
        <v>15.2</v>
      </c>
      <c r="H30" s="40">
        <v>9.1199999999999992</v>
      </c>
      <c r="I30" s="40">
        <v>6.08</v>
      </c>
      <c r="J30" s="40">
        <v>3.04</v>
      </c>
      <c r="K30" s="40">
        <v>2.2799999999999998</v>
      </c>
      <c r="L30" s="40">
        <v>0.76</v>
      </c>
      <c r="M30" s="40">
        <v>0.76</v>
      </c>
    </row>
    <row r="31" spans="1:14" ht="34.5" customHeight="1" x14ac:dyDescent="0.25">
      <c r="A31" s="53" t="s">
        <v>325</v>
      </c>
      <c r="B31" s="60" t="s">
        <v>315</v>
      </c>
      <c r="C31" s="63" t="s">
        <v>321</v>
      </c>
      <c r="D31" s="12">
        <f t="shared" ref="D31:M31" si="5">D30*(1-D17)</f>
        <v>20.709999999999997</v>
      </c>
      <c r="E31" s="12">
        <f t="shared" si="5"/>
        <v>16.187999999999999</v>
      </c>
      <c r="F31" s="12">
        <f t="shared" si="5"/>
        <v>6.4752000000000018</v>
      </c>
      <c r="G31" s="12">
        <f t="shared" si="5"/>
        <v>1.8695999999999999</v>
      </c>
      <c r="H31" s="12">
        <f t="shared" si="5"/>
        <v>0.66120000000000001</v>
      </c>
      <c r="I31" s="12">
        <f t="shared" si="5"/>
        <v>0.27968000000000026</v>
      </c>
      <c r="J31" s="12">
        <f t="shared" si="5"/>
        <v>9.7280000000000089E-2</v>
      </c>
      <c r="K31" s="12">
        <f t="shared" si="5"/>
        <v>5.0160000000000038E-2</v>
      </c>
      <c r="L31" s="12">
        <f t="shared" si="5"/>
        <v>1.0640000000000009E-2</v>
      </c>
      <c r="M31" s="12">
        <f t="shared" si="5"/>
        <v>7.6000000000000069E-3</v>
      </c>
    </row>
    <row r="32" spans="1:14" x14ac:dyDescent="0.25">
      <c r="B32" s="42" t="s">
        <v>326</v>
      </c>
      <c r="D32" s="14">
        <f t="shared" ref="D32:M32" si="6">D30-D31</f>
        <v>17.290000000000003</v>
      </c>
      <c r="E32" s="14">
        <f t="shared" si="6"/>
        <v>29.412000000000003</v>
      </c>
      <c r="F32" s="14">
        <f t="shared" si="6"/>
        <v>23.924799999999998</v>
      </c>
      <c r="G32" s="14">
        <f t="shared" si="6"/>
        <v>13.330399999999999</v>
      </c>
      <c r="H32" s="14">
        <f t="shared" si="6"/>
        <v>8.4588000000000001</v>
      </c>
      <c r="I32" s="14">
        <f t="shared" si="6"/>
        <v>5.8003200000000001</v>
      </c>
      <c r="J32" s="14">
        <f t="shared" si="6"/>
        <v>2.94272</v>
      </c>
      <c r="K32" s="14">
        <f t="shared" si="6"/>
        <v>2.2298399999999998</v>
      </c>
      <c r="L32" s="14">
        <f t="shared" si="6"/>
        <v>0.74936000000000003</v>
      </c>
      <c r="M32" s="14">
        <f t="shared" si="6"/>
        <v>0.75239999999999996</v>
      </c>
    </row>
    <row r="33" spans="1:14" ht="25.5" x14ac:dyDescent="0.25">
      <c r="B33" s="4" t="s">
        <v>327</v>
      </c>
      <c r="C33" s="42" t="s">
        <v>328</v>
      </c>
      <c r="D33" s="40">
        <v>41.8</v>
      </c>
      <c r="E33" s="40">
        <v>78.375</v>
      </c>
      <c r="F33" s="40">
        <v>114.95</v>
      </c>
      <c r="G33" s="40">
        <v>114.95</v>
      </c>
      <c r="H33" s="40">
        <v>78.375</v>
      </c>
      <c r="I33" s="40">
        <v>41.8</v>
      </c>
      <c r="J33" s="40">
        <v>26.125</v>
      </c>
      <c r="K33" s="40">
        <v>15.675000000000001</v>
      </c>
      <c r="L33" s="40">
        <v>5.2249999999999996</v>
      </c>
      <c r="M33" s="40">
        <v>5.2249999999999996</v>
      </c>
    </row>
    <row r="34" spans="1:14" ht="51" x14ac:dyDescent="0.25">
      <c r="A34" s="53" t="s">
        <v>329</v>
      </c>
      <c r="B34" s="56" t="s">
        <v>315</v>
      </c>
      <c r="C34" s="63" t="s">
        <v>321</v>
      </c>
      <c r="D34" s="12">
        <f t="shared" ref="D34:M34" si="7">D33*(1-D18)</f>
        <v>24.139499999999995</v>
      </c>
      <c r="E34" s="12">
        <f t="shared" si="7"/>
        <v>29.390625000000007</v>
      </c>
      <c r="F34" s="12">
        <f t="shared" si="7"/>
        <v>26.036174999999993</v>
      </c>
      <c r="G34" s="12">
        <f t="shared" si="7"/>
        <v>15.288349999999989</v>
      </c>
      <c r="H34" s="12">
        <f t="shared" si="7"/>
        <v>6.1916249999999966</v>
      </c>
      <c r="I34" s="12">
        <f t="shared" si="7"/>
        <v>2.131799999999997</v>
      </c>
      <c r="J34" s="12">
        <f t="shared" si="7"/>
        <v>0.91437500000000371</v>
      </c>
      <c r="K34" s="12">
        <f t="shared" si="7"/>
        <v>0.39187499999999864</v>
      </c>
      <c r="L34" s="12">
        <f t="shared" si="7"/>
        <v>8.3600000000000063E-2</v>
      </c>
      <c r="M34" s="12">
        <f t="shared" si="7"/>
        <v>5.2250000000000039E-2</v>
      </c>
    </row>
    <row r="35" spans="1:14" ht="15" customHeight="1" x14ac:dyDescent="0.25">
      <c r="B35" s="42" t="s">
        <v>330</v>
      </c>
      <c r="D35" s="14">
        <f t="shared" ref="D35:M35" si="8">D33-D34</f>
        <v>17.660500000000003</v>
      </c>
      <c r="E35" s="14">
        <f t="shared" si="8"/>
        <v>48.984374999999993</v>
      </c>
      <c r="F35" s="14">
        <f t="shared" si="8"/>
        <v>88.913825000000003</v>
      </c>
      <c r="G35" s="14">
        <f t="shared" si="8"/>
        <v>99.661650000000009</v>
      </c>
      <c r="H35" s="14">
        <f t="shared" si="8"/>
        <v>72.183374999999998</v>
      </c>
      <c r="I35" s="14">
        <f t="shared" si="8"/>
        <v>39.668199999999999</v>
      </c>
      <c r="J35" s="14">
        <f t="shared" si="8"/>
        <v>25.210624999999997</v>
      </c>
      <c r="K35" s="14">
        <f t="shared" si="8"/>
        <v>15.283125000000002</v>
      </c>
      <c r="L35" s="14">
        <f t="shared" si="8"/>
        <v>5.1414</v>
      </c>
      <c r="M35" s="14">
        <f t="shared" si="8"/>
        <v>5.1727499999999997</v>
      </c>
    </row>
    <row r="36" spans="1:14" ht="23.25" customHeight="1" x14ac:dyDescent="0.25">
      <c r="B36" s="7" t="s">
        <v>331</v>
      </c>
      <c r="C36" s="42" t="s">
        <v>332</v>
      </c>
      <c r="D36" s="40">
        <v>37.049999999999997</v>
      </c>
      <c r="E36" s="40">
        <v>61.75</v>
      </c>
      <c r="F36" s="40">
        <v>54.34</v>
      </c>
      <c r="G36" s="40">
        <v>37.049999999999997</v>
      </c>
      <c r="H36" s="40">
        <v>24.7</v>
      </c>
      <c r="I36" s="40">
        <v>14.82</v>
      </c>
      <c r="J36" s="40">
        <v>9.8800000000000008</v>
      </c>
      <c r="K36" s="40">
        <v>4.9400000000000004</v>
      </c>
      <c r="L36" s="40">
        <v>1.2350000000000001</v>
      </c>
      <c r="M36" s="40">
        <v>1.2350000000000001</v>
      </c>
    </row>
    <row r="37" spans="1:14" ht="51" x14ac:dyDescent="0.25">
      <c r="A37" s="53" t="s">
        <v>333</v>
      </c>
      <c r="B37" s="61" t="s">
        <v>315</v>
      </c>
      <c r="C37" s="63" t="s">
        <v>321</v>
      </c>
      <c r="D37" s="12">
        <f t="shared" ref="D37:M37" si="9">D36*(1-D19)</f>
        <v>21.674249999999997</v>
      </c>
      <c r="E37" s="12">
        <f t="shared" si="9"/>
        <v>23.465</v>
      </c>
      <c r="F37" s="12">
        <f t="shared" si="9"/>
        <v>12.443860000000006</v>
      </c>
      <c r="G37" s="12">
        <f t="shared" si="9"/>
        <v>4.9646999999999997</v>
      </c>
      <c r="H37" s="12">
        <f t="shared" si="9"/>
        <v>1.9636500000000003</v>
      </c>
      <c r="I37" s="12">
        <f t="shared" si="9"/>
        <v>0.75582000000000071</v>
      </c>
      <c r="J37" s="12">
        <f t="shared" si="9"/>
        <v>0.34580000000000033</v>
      </c>
      <c r="K37" s="12">
        <f t="shared" si="9"/>
        <v>0.12350000000000066</v>
      </c>
      <c r="L37" s="12">
        <f t="shared" si="9"/>
        <v>1.9760000000000021E-2</v>
      </c>
      <c r="M37" s="12">
        <f t="shared" si="9"/>
        <v>1.2350000000000012E-2</v>
      </c>
    </row>
    <row r="38" spans="1:14" ht="15" customHeight="1" x14ac:dyDescent="0.25">
      <c r="B38" s="42" t="s">
        <v>334</v>
      </c>
      <c r="D38" s="14">
        <f t="shared" ref="D38:M38" si="10">D36-D37</f>
        <v>15.37575</v>
      </c>
      <c r="E38" s="14">
        <f t="shared" si="10"/>
        <v>38.284999999999997</v>
      </c>
      <c r="F38" s="14">
        <f t="shared" si="10"/>
        <v>41.896139999999995</v>
      </c>
      <c r="G38" s="14">
        <f t="shared" si="10"/>
        <v>32.085299999999997</v>
      </c>
      <c r="H38" s="14">
        <f t="shared" si="10"/>
        <v>22.736349999999998</v>
      </c>
      <c r="I38" s="14">
        <f t="shared" si="10"/>
        <v>14.06418</v>
      </c>
      <c r="J38" s="14">
        <f t="shared" si="10"/>
        <v>9.5342000000000002</v>
      </c>
      <c r="K38" s="14">
        <f t="shared" si="10"/>
        <v>4.8164999999999996</v>
      </c>
      <c r="L38" s="14">
        <f t="shared" si="10"/>
        <v>1.2152400000000001</v>
      </c>
      <c r="M38" s="14">
        <f t="shared" si="10"/>
        <v>1.22265</v>
      </c>
    </row>
    <row r="39" spans="1:14" ht="23.25" customHeight="1" x14ac:dyDescent="0.25">
      <c r="B39" s="8" t="s">
        <v>335</v>
      </c>
      <c r="C39" s="42" t="s">
        <v>336</v>
      </c>
      <c r="D39" s="40">
        <v>36.575000000000003</v>
      </c>
      <c r="E39" s="40">
        <v>26.125</v>
      </c>
      <c r="F39" s="40">
        <v>15.675000000000001</v>
      </c>
      <c r="G39" s="40">
        <v>10.45</v>
      </c>
      <c r="H39" s="40">
        <v>6.27</v>
      </c>
      <c r="I39" s="40">
        <v>4.18</v>
      </c>
      <c r="J39" s="40">
        <v>3.1349999999999998</v>
      </c>
      <c r="K39" s="40">
        <v>1.5674999999999999</v>
      </c>
      <c r="L39" s="40">
        <v>0.52249999999999996</v>
      </c>
      <c r="M39" s="40">
        <v>0.52249999999999996</v>
      </c>
    </row>
    <row r="40" spans="1:14" ht="34.5" customHeight="1" x14ac:dyDescent="0.25">
      <c r="A40" s="53" t="s">
        <v>337</v>
      </c>
      <c r="B40" s="62" t="s">
        <v>315</v>
      </c>
      <c r="C40" s="63" t="s">
        <v>321</v>
      </c>
      <c r="D40" s="12">
        <f t="shared" ref="D40:M40" si="11">D39*(1-D20)</f>
        <v>23.590875000000004</v>
      </c>
      <c r="E40" s="12">
        <f t="shared" si="11"/>
        <v>10.972499999999998</v>
      </c>
      <c r="F40" s="12">
        <f t="shared" si="11"/>
        <v>3.9187500000000002</v>
      </c>
      <c r="G40" s="12">
        <f t="shared" si="11"/>
        <v>1.4995749999999994</v>
      </c>
      <c r="H40" s="12">
        <f t="shared" si="11"/>
        <v>0.52981500000000004</v>
      </c>
      <c r="I40" s="12">
        <f t="shared" si="11"/>
        <v>0.21736000000000019</v>
      </c>
      <c r="J40" s="12">
        <f t="shared" si="11"/>
        <v>0.11129250000000027</v>
      </c>
      <c r="K40" s="12">
        <f t="shared" si="11"/>
        <v>3.9971250000000118E-2</v>
      </c>
      <c r="L40" s="12">
        <f t="shared" si="11"/>
        <v>8.6212499999999779E-3</v>
      </c>
      <c r="M40" s="12">
        <f t="shared" si="11"/>
        <v>5.2250000000000039E-3</v>
      </c>
    </row>
    <row r="41" spans="1:14" ht="15" customHeight="1" x14ac:dyDescent="0.25">
      <c r="B41" s="42" t="s">
        <v>338</v>
      </c>
      <c r="D41" s="14">
        <f t="shared" ref="D41:M41" si="12">D39-D40</f>
        <v>12.984124999999999</v>
      </c>
      <c r="E41" s="14">
        <f t="shared" si="12"/>
        <v>15.152500000000002</v>
      </c>
      <c r="F41" s="14">
        <f t="shared" si="12"/>
        <v>11.756250000000001</v>
      </c>
      <c r="G41" s="14">
        <f t="shared" si="12"/>
        <v>8.9504249999999992</v>
      </c>
      <c r="H41" s="14">
        <f t="shared" si="12"/>
        <v>5.7401849999999994</v>
      </c>
      <c r="I41" s="14">
        <f t="shared" si="12"/>
        <v>3.9626399999999995</v>
      </c>
      <c r="J41" s="14">
        <f t="shared" si="12"/>
        <v>3.0237074999999995</v>
      </c>
      <c r="K41" s="14">
        <f t="shared" si="12"/>
        <v>1.5275287499999999</v>
      </c>
      <c r="L41" s="14">
        <f t="shared" si="12"/>
        <v>0.51387874999999994</v>
      </c>
      <c r="M41" s="14">
        <f t="shared" si="12"/>
        <v>0.51727499999999993</v>
      </c>
    </row>
    <row r="43" spans="1:14" ht="21.75" customHeight="1" x14ac:dyDescent="0.25">
      <c r="B43" s="110" t="s">
        <v>339</v>
      </c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64"/>
    </row>
    <row r="44" spans="1:14" ht="15" customHeight="1" x14ac:dyDescent="0.25">
      <c r="B44" s="105" t="s">
        <v>340</v>
      </c>
      <c r="C44" s="105"/>
      <c r="D44" s="10" t="s">
        <v>30</v>
      </c>
      <c r="E44" s="10" t="s">
        <v>25</v>
      </c>
      <c r="F44" s="10" t="s">
        <v>44</v>
      </c>
      <c r="G44" s="10" t="s">
        <v>39</v>
      </c>
      <c r="H44" s="10" t="s">
        <v>58</v>
      </c>
      <c r="I44" s="10" t="s">
        <v>59</v>
      </c>
      <c r="J44" s="10" t="s">
        <v>60</v>
      </c>
      <c r="K44" s="10" t="s">
        <v>61</v>
      </c>
      <c r="L44" s="10" t="s">
        <v>62</v>
      </c>
      <c r="M44" s="10" t="s">
        <v>63</v>
      </c>
    </row>
    <row r="45" spans="1:14" ht="15" customHeight="1" x14ac:dyDescent="0.25">
      <c r="B45" s="106" t="s">
        <v>341</v>
      </c>
      <c r="C45" s="106"/>
      <c r="D45" s="43">
        <f t="shared" ref="D45:M45" si="13">D24+D27+D30+D33+D36+D39</f>
        <v>261.72500000000002</v>
      </c>
      <c r="E45" s="43">
        <f t="shared" si="13"/>
        <v>308.75</v>
      </c>
      <c r="F45" s="43">
        <f t="shared" si="13"/>
        <v>270.08499999999998</v>
      </c>
      <c r="G45" s="43">
        <f t="shared" si="13"/>
        <v>206.52999999999997</v>
      </c>
      <c r="H45" s="43">
        <f t="shared" si="13"/>
        <v>133.47499999999999</v>
      </c>
      <c r="I45" s="43">
        <f t="shared" si="13"/>
        <v>75.430000000000007</v>
      </c>
      <c r="J45" s="43">
        <f t="shared" si="13"/>
        <v>47.5</v>
      </c>
      <c r="K45" s="43">
        <f t="shared" si="13"/>
        <v>27.122500000000002</v>
      </c>
      <c r="L45" s="43">
        <f t="shared" si="13"/>
        <v>9.3574999999999982</v>
      </c>
      <c r="M45" s="43">
        <f t="shared" si="13"/>
        <v>8.7874999999999979</v>
      </c>
    </row>
    <row r="46" spans="1:14" ht="15" customHeight="1" x14ac:dyDescent="0.25">
      <c r="B46" s="106" t="s">
        <v>342</v>
      </c>
      <c r="C46" s="106"/>
      <c r="D46" s="43">
        <f t="shared" ref="D46:M46" si="14">D25+D28+D31+D34+D37+D40</f>
        <v>141.82787500000001</v>
      </c>
      <c r="E46" s="43">
        <f t="shared" si="14"/>
        <v>110.14917500000001</v>
      </c>
      <c r="F46" s="43">
        <f t="shared" si="14"/>
        <v>59.139457</v>
      </c>
      <c r="G46" s="43">
        <f t="shared" si="14"/>
        <v>26.76007499999999</v>
      </c>
      <c r="H46" s="43">
        <f t="shared" si="14"/>
        <v>10.307784999999996</v>
      </c>
      <c r="I46" s="43">
        <f t="shared" si="14"/>
        <v>3.7408529999999978</v>
      </c>
      <c r="J46" s="43">
        <f t="shared" si="14"/>
        <v>1.6259535000000047</v>
      </c>
      <c r="K46" s="43">
        <f t="shared" si="14"/>
        <v>0.65750924999999938</v>
      </c>
      <c r="L46" s="43">
        <f t="shared" si="14"/>
        <v>0.14221024999999998</v>
      </c>
      <c r="M46" s="43">
        <f t="shared" si="14"/>
        <v>8.7874999999999967E-2</v>
      </c>
    </row>
    <row r="47" spans="1:14" ht="15" customHeight="1" x14ac:dyDescent="0.25">
      <c r="B47" s="107" t="s">
        <v>343</v>
      </c>
      <c r="C47" s="107"/>
      <c r="D47" s="43">
        <f t="shared" ref="D47:M47" si="15">D45-D46</f>
        <v>119.89712500000002</v>
      </c>
      <c r="E47" s="43">
        <f t="shared" si="15"/>
        <v>198.60082499999999</v>
      </c>
      <c r="F47" s="43">
        <f t="shared" si="15"/>
        <v>210.94554299999999</v>
      </c>
      <c r="G47" s="43">
        <f t="shared" si="15"/>
        <v>179.76992499999997</v>
      </c>
      <c r="H47" s="43">
        <f t="shared" si="15"/>
        <v>123.167215</v>
      </c>
      <c r="I47" s="43">
        <f t="shared" si="15"/>
        <v>71.689147000000006</v>
      </c>
      <c r="J47" s="43">
        <f t="shared" si="15"/>
        <v>45.874046499999999</v>
      </c>
      <c r="K47" s="43">
        <f t="shared" si="15"/>
        <v>26.464990750000002</v>
      </c>
      <c r="L47" s="43">
        <f t="shared" si="15"/>
        <v>9.2152897499999984</v>
      </c>
      <c r="M47" s="43">
        <f t="shared" si="15"/>
        <v>8.6996249999999975</v>
      </c>
    </row>
    <row r="48" spans="1:14" ht="15" customHeight="1" x14ac:dyDescent="0.25">
      <c r="B48" s="106" t="s">
        <v>344</v>
      </c>
      <c r="C48" s="106"/>
      <c r="D48" s="43">
        <f>Platform!D11</f>
        <v>101</v>
      </c>
      <c r="E48" s="43">
        <f>Platform!E11</f>
        <v>210</v>
      </c>
      <c r="F48" s="43">
        <f>Platform!F11</f>
        <v>107</v>
      </c>
      <c r="G48" s="43">
        <f>Platform!G11</f>
        <v>69</v>
      </c>
      <c r="H48" s="43">
        <f>Platform!H11</f>
        <v>38</v>
      </c>
      <c r="I48" s="43">
        <f>Platform!I11</f>
        <v>20.5</v>
      </c>
      <c r="J48" s="43">
        <f>Platform!J11</f>
        <v>11.3</v>
      </c>
      <c r="K48" s="43">
        <f>Platform!K11</f>
        <v>8.4</v>
      </c>
      <c r="L48" s="43">
        <f>Platform!L11</f>
        <v>6.8999999999999995</v>
      </c>
      <c r="M48" s="43">
        <f>Platform!M11</f>
        <v>3.1</v>
      </c>
    </row>
    <row r="49" spans="2:13" ht="15" customHeight="1" x14ac:dyDescent="0.25">
      <c r="B49" s="104" t="s">
        <v>345</v>
      </c>
      <c r="C49" s="104"/>
      <c r="D49" s="66">
        <f t="shared" ref="D49:M49" si="16">D46+D48</f>
        <v>242.82787500000001</v>
      </c>
      <c r="E49" s="66">
        <f t="shared" si="16"/>
        <v>320.14917500000001</v>
      </c>
      <c r="F49" s="66">
        <f t="shared" si="16"/>
        <v>166.13945699999999</v>
      </c>
      <c r="G49" s="66">
        <f t="shared" si="16"/>
        <v>95.760074999999986</v>
      </c>
      <c r="H49" s="66">
        <f t="shared" si="16"/>
        <v>48.307784999999996</v>
      </c>
      <c r="I49" s="66">
        <f t="shared" si="16"/>
        <v>24.240852999999998</v>
      </c>
      <c r="J49" s="66">
        <f t="shared" si="16"/>
        <v>12.925953500000006</v>
      </c>
      <c r="K49" s="66">
        <f t="shared" si="16"/>
        <v>9.057509249999999</v>
      </c>
      <c r="L49" s="66">
        <f t="shared" si="16"/>
        <v>7.0422102499999992</v>
      </c>
      <c r="M49" s="66">
        <f t="shared" si="16"/>
        <v>3.187875</v>
      </c>
    </row>
  </sheetData>
  <mergeCells count="11">
    <mergeCell ref="B2:N2"/>
    <mergeCell ref="B4:N4"/>
    <mergeCell ref="B13:N13"/>
    <mergeCell ref="B22:N22"/>
    <mergeCell ref="B43:M43"/>
    <mergeCell ref="B49:C49"/>
    <mergeCell ref="B44:C44"/>
    <mergeCell ref="B45:C45"/>
    <mergeCell ref="B46:C46"/>
    <mergeCell ref="B47:C47"/>
    <mergeCell ref="B48:C48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D66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50" sqref="A50"/>
      <selection pane="bottomRight" activeCell="A57" sqref="A57"/>
    </sheetView>
  </sheetViews>
  <sheetFormatPr defaultColWidth="8.7109375" defaultRowHeight="15" x14ac:dyDescent="0.25"/>
  <cols>
    <col min="1" max="1" width="24.85546875" style="53" customWidth="1"/>
    <col min="2" max="2" width="42" customWidth="1"/>
    <col min="3" max="3" width="18" customWidth="1"/>
    <col min="4" max="4" width="70" customWidth="1"/>
  </cols>
  <sheetData>
    <row r="2" spans="2:4" ht="21.75" customHeight="1" x14ac:dyDescent="0.25">
      <c r="B2" s="108" t="s">
        <v>346</v>
      </c>
      <c r="C2" s="108"/>
      <c r="D2" s="108"/>
    </row>
    <row r="3" spans="2:4" ht="15" customHeight="1" x14ac:dyDescent="0.25">
      <c r="B3" s="9" t="s">
        <v>312</v>
      </c>
      <c r="C3" s="9" t="s">
        <v>347</v>
      </c>
      <c r="D3" s="9" t="s">
        <v>117</v>
      </c>
    </row>
    <row r="4" spans="2:4" ht="23.25" customHeight="1" x14ac:dyDescent="0.25">
      <c r="B4" s="1" t="s">
        <v>348</v>
      </c>
      <c r="C4" s="67" t="s">
        <v>349</v>
      </c>
      <c r="D4" s="42" t="s">
        <v>350</v>
      </c>
    </row>
    <row r="5" spans="2:4" ht="15" customHeight="1" x14ac:dyDescent="0.25">
      <c r="B5" s="1" t="s">
        <v>351</v>
      </c>
      <c r="C5" s="68">
        <v>10</v>
      </c>
      <c r="D5" s="42" t="s">
        <v>352</v>
      </c>
    </row>
    <row r="6" spans="2:4" ht="15" customHeight="1" x14ac:dyDescent="0.25">
      <c r="B6" s="1" t="s">
        <v>353</v>
      </c>
      <c r="C6" s="69">
        <v>0.25</v>
      </c>
      <c r="D6" s="42" t="s">
        <v>354</v>
      </c>
    </row>
    <row r="7" spans="2:4" ht="15" customHeight="1" x14ac:dyDescent="0.25">
      <c r="B7" s="1" t="s">
        <v>355</v>
      </c>
      <c r="C7" s="69">
        <v>0.18</v>
      </c>
      <c r="D7" s="42" t="s">
        <v>356</v>
      </c>
    </row>
    <row r="8" spans="2:4" ht="15" customHeight="1" x14ac:dyDescent="0.25">
      <c r="B8" s="1" t="s">
        <v>357</v>
      </c>
      <c r="C8" s="69">
        <v>0.04</v>
      </c>
      <c r="D8" s="42" t="s">
        <v>358</v>
      </c>
    </row>
    <row r="9" spans="2:4" ht="23.25" customHeight="1" x14ac:dyDescent="0.25">
      <c r="B9" s="1" t="s">
        <v>359</v>
      </c>
      <c r="C9" s="69">
        <v>0.04</v>
      </c>
      <c r="D9" s="42" t="s">
        <v>360</v>
      </c>
    </row>
    <row r="10" spans="2:4" ht="15" customHeight="1" x14ac:dyDescent="0.25">
      <c r="B10" s="1" t="s">
        <v>361</v>
      </c>
      <c r="C10" s="69">
        <v>0.92</v>
      </c>
      <c r="D10" s="42" t="s">
        <v>362</v>
      </c>
    </row>
    <row r="11" spans="2:4" ht="15" customHeight="1" x14ac:dyDescent="0.25">
      <c r="B11" s="1" t="s">
        <v>363</v>
      </c>
      <c r="C11" s="68">
        <v>180</v>
      </c>
      <c r="D11" s="42" t="s">
        <v>364</v>
      </c>
    </row>
    <row r="12" spans="2:4" ht="15" customHeight="1" x14ac:dyDescent="0.25">
      <c r="B12" s="1" t="s">
        <v>365</v>
      </c>
      <c r="C12" s="68">
        <v>45</v>
      </c>
      <c r="D12" s="42" t="s">
        <v>366</v>
      </c>
    </row>
    <row r="13" spans="2:4" ht="15" customHeight="1" x14ac:dyDescent="0.25">
      <c r="B13" s="1" t="s">
        <v>367</v>
      </c>
      <c r="C13" s="68">
        <v>90</v>
      </c>
      <c r="D13" s="42" t="s">
        <v>368</v>
      </c>
    </row>
    <row r="14" spans="2:4" ht="30.75" customHeight="1" x14ac:dyDescent="0.25">
      <c r="B14" s="1" t="s">
        <v>369</v>
      </c>
      <c r="C14" s="69"/>
      <c r="D14" s="42" t="s">
        <v>370</v>
      </c>
    </row>
    <row r="15" spans="2:4" ht="15" customHeight="1" x14ac:dyDescent="0.25">
      <c r="B15" s="1" t="s">
        <v>371</v>
      </c>
      <c r="C15" s="69">
        <v>0.08</v>
      </c>
      <c r="D15" s="42" t="s">
        <v>372</v>
      </c>
    </row>
    <row r="16" spans="2:4" ht="15" customHeight="1" x14ac:dyDescent="0.25">
      <c r="B16" s="1" t="s">
        <v>373</v>
      </c>
      <c r="C16" s="69">
        <v>7.0000000000000007E-2</v>
      </c>
      <c r="D16" s="42" t="s">
        <v>374</v>
      </c>
    </row>
    <row r="17" spans="1:4" ht="15" customHeight="1" x14ac:dyDescent="0.25">
      <c r="B17" s="1" t="s">
        <v>375</v>
      </c>
      <c r="C17" s="69">
        <v>0.03</v>
      </c>
      <c r="D17" s="42" t="s">
        <v>376</v>
      </c>
    </row>
    <row r="18" spans="1:4" ht="15" customHeight="1" x14ac:dyDescent="0.25">
      <c r="B18" s="1" t="s">
        <v>377</v>
      </c>
      <c r="C18" s="40">
        <v>2</v>
      </c>
      <c r="D18" s="42" t="s">
        <v>378</v>
      </c>
    </row>
    <row r="19" spans="1:4" ht="15" customHeight="1" x14ac:dyDescent="0.25">
      <c r="B19" s="1" t="s">
        <v>379</v>
      </c>
      <c r="C19" s="40">
        <v>14.25</v>
      </c>
      <c r="D19" s="42" t="s">
        <v>378</v>
      </c>
    </row>
    <row r="20" spans="1:4" ht="15" customHeight="1" x14ac:dyDescent="0.25">
      <c r="B20" s="1" t="s">
        <v>380</v>
      </c>
      <c r="C20" s="40">
        <v>8.5500000000000007</v>
      </c>
      <c r="D20" s="42" t="s">
        <v>378</v>
      </c>
    </row>
    <row r="21" spans="1:4" ht="15" customHeight="1" x14ac:dyDescent="0.25">
      <c r="B21" s="1" t="s">
        <v>381</v>
      </c>
      <c r="C21" s="69">
        <v>0.03</v>
      </c>
      <c r="D21" s="42" t="s">
        <v>382</v>
      </c>
    </row>
    <row r="22" spans="1:4" ht="15" customHeight="1" x14ac:dyDescent="0.25">
      <c r="B22" s="1" t="s">
        <v>383</v>
      </c>
      <c r="C22" s="69">
        <v>0.15</v>
      </c>
      <c r="D22" s="42" t="s">
        <v>384</v>
      </c>
    </row>
    <row r="23" spans="1:4" ht="15" customHeight="1" x14ac:dyDescent="0.25">
      <c r="B23" s="1" t="s">
        <v>385</v>
      </c>
      <c r="C23" s="69">
        <v>1.0999999999999999E-2</v>
      </c>
      <c r="D23" s="42" t="s">
        <v>386</v>
      </c>
    </row>
    <row r="24" spans="1:4" ht="15" customHeight="1" x14ac:dyDescent="0.25">
      <c r="B24" s="1" t="s">
        <v>387</v>
      </c>
      <c r="C24" s="69" t="s">
        <v>388</v>
      </c>
      <c r="D24" s="42" t="s">
        <v>389</v>
      </c>
    </row>
    <row r="25" spans="1:4" ht="15" customHeight="1" x14ac:dyDescent="0.25">
      <c r="B25" s="1" t="s">
        <v>390</v>
      </c>
      <c r="C25" s="40">
        <v>100</v>
      </c>
      <c r="D25" s="42" t="s">
        <v>391</v>
      </c>
    </row>
    <row r="26" spans="1:4" ht="15" customHeight="1" x14ac:dyDescent="0.25">
      <c r="B26" s="1" t="s">
        <v>392</v>
      </c>
      <c r="C26" s="44">
        <v>1</v>
      </c>
      <c r="D26" s="42" t="s">
        <v>393</v>
      </c>
    </row>
    <row r="28" spans="1:4" ht="21.75" customHeight="1" x14ac:dyDescent="0.25">
      <c r="B28" s="110" t="s">
        <v>394</v>
      </c>
      <c r="C28" s="110"/>
      <c r="D28" s="110"/>
    </row>
    <row r="29" spans="1:4" ht="32.25" customHeight="1" x14ac:dyDescent="0.25">
      <c r="A29" s="53" t="s">
        <v>395</v>
      </c>
      <c r="B29" s="2" t="s">
        <v>396</v>
      </c>
      <c r="C29" s="111">
        <v>0.5</v>
      </c>
      <c r="D29" s="111"/>
    </row>
    <row r="30" spans="1:4" ht="46.5" customHeight="1" x14ac:dyDescent="0.25">
      <c r="A30" s="53" t="s">
        <v>397</v>
      </c>
      <c r="B30" s="2" t="s">
        <v>398</v>
      </c>
      <c r="C30" s="111">
        <v>0.7</v>
      </c>
      <c r="D30" s="111"/>
    </row>
    <row r="31" spans="1:4" ht="27.75" customHeight="1" x14ac:dyDescent="0.25">
      <c r="B31" s="2" t="s">
        <v>399</v>
      </c>
      <c r="C31" s="111" t="s">
        <v>400</v>
      </c>
      <c r="D31" s="111"/>
    </row>
    <row r="32" spans="1:4" ht="27.75" customHeight="1" x14ac:dyDescent="0.25">
      <c r="B32" s="2" t="s">
        <v>401</v>
      </c>
      <c r="C32" s="111" t="s">
        <v>402</v>
      </c>
      <c r="D32" s="111"/>
    </row>
    <row r="33" spans="2:4" ht="27.75" customHeight="1" x14ac:dyDescent="0.25">
      <c r="B33" s="2" t="s">
        <v>403</v>
      </c>
      <c r="C33" s="111" t="s">
        <v>404</v>
      </c>
      <c r="D33" s="111"/>
    </row>
    <row r="34" spans="2:4" ht="27.75" customHeight="1" x14ac:dyDescent="0.25">
      <c r="B34" s="2" t="s">
        <v>405</v>
      </c>
      <c r="C34" s="111" t="s">
        <v>406</v>
      </c>
      <c r="D34" s="111"/>
    </row>
    <row r="35" spans="2:4" ht="27.75" customHeight="1" x14ac:dyDescent="0.25">
      <c r="B35" s="2" t="s">
        <v>407</v>
      </c>
      <c r="C35" s="111" t="s">
        <v>408</v>
      </c>
      <c r="D35" s="111"/>
    </row>
    <row r="36" spans="2:4" ht="27.75" customHeight="1" x14ac:dyDescent="0.25">
      <c r="B36" s="2" t="s">
        <v>409</v>
      </c>
      <c r="C36" s="111" t="s">
        <v>410</v>
      </c>
      <c r="D36" s="111"/>
    </row>
    <row r="37" spans="2:4" ht="15" customHeight="1" x14ac:dyDescent="0.25">
      <c r="B37" t="s">
        <v>411</v>
      </c>
      <c r="C37">
        <v>0.15</v>
      </c>
      <c r="D37" t="s">
        <v>412</v>
      </c>
    </row>
    <row r="38" spans="2:4" ht="15" customHeight="1" x14ac:dyDescent="0.25">
      <c r="B38" t="s">
        <v>413</v>
      </c>
      <c r="C38" t="s">
        <v>414</v>
      </c>
      <c r="D38" t="s">
        <v>415</v>
      </c>
    </row>
    <row r="39" spans="2:4" ht="15" customHeight="1" x14ac:dyDescent="0.25">
      <c r="B39" t="s">
        <v>416</v>
      </c>
      <c r="C39">
        <v>0.5</v>
      </c>
      <c r="D39" t="s">
        <v>417</v>
      </c>
    </row>
    <row r="40" spans="2:4" ht="15" customHeight="1" x14ac:dyDescent="0.25">
      <c r="B40" t="s">
        <v>418</v>
      </c>
      <c r="C40">
        <v>0.7</v>
      </c>
      <c r="D40" t="s">
        <v>419</v>
      </c>
    </row>
    <row r="41" spans="2:4" ht="15" customHeight="1" x14ac:dyDescent="0.25">
      <c r="B41" t="s">
        <v>420</v>
      </c>
      <c r="C41">
        <v>2</v>
      </c>
      <c r="D41" t="s">
        <v>421</v>
      </c>
    </row>
    <row r="42" spans="2:4" ht="15" customHeight="1" x14ac:dyDescent="0.25">
      <c r="B42" t="s">
        <v>422</v>
      </c>
      <c r="C42">
        <v>95</v>
      </c>
      <c r="D42" t="s">
        <v>423</v>
      </c>
    </row>
    <row r="43" spans="2:4" ht="15" customHeight="1" x14ac:dyDescent="0.25">
      <c r="B43" t="s">
        <v>424</v>
      </c>
      <c r="C43">
        <v>12</v>
      </c>
      <c r="D43" t="s">
        <v>425</v>
      </c>
    </row>
    <row r="44" spans="2:4" ht="15" customHeight="1" x14ac:dyDescent="0.25">
      <c r="B44" t="s">
        <v>426</v>
      </c>
      <c r="C44" t="s">
        <v>427</v>
      </c>
      <c r="D44" t="s">
        <v>428</v>
      </c>
    </row>
    <row r="45" spans="2:4" ht="15" customHeight="1" x14ac:dyDescent="0.25">
      <c r="B45" t="s">
        <v>429</v>
      </c>
      <c r="C45">
        <v>1</v>
      </c>
      <c r="D45" t="s">
        <v>430</v>
      </c>
    </row>
    <row r="46" spans="2:4" ht="15" customHeight="1" x14ac:dyDescent="0.25">
      <c r="B46" t="s">
        <v>431</v>
      </c>
      <c r="C46">
        <v>2</v>
      </c>
      <c r="D46" t="s">
        <v>432</v>
      </c>
    </row>
    <row r="48" spans="2:4" ht="15" customHeight="1" x14ac:dyDescent="0.25">
      <c r="B48" t="s">
        <v>433</v>
      </c>
    </row>
    <row r="49" spans="1:4" ht="15" customHeight="1" x14ac:dyDescent="0.25">
      <c r="B49" t="s">
        <v>434</v>
      </c>
      <c r="C49">
        <v>15</v>
      </c>
      <c r="D49" t="s">
        <v>435</v>
      </c>
    </row>
    <row r="50" spans="1:4" ht="15" customHeight="1" x14ac:dyDescent="0.25">
      <c r="A50" s="25" t="s">
        <v>436</v>
      </c>
      <c r="D50" t="s">
        <v>437</v>
      </c>
    </row>
    <row r="51" spans="1:4" ht="41.25" customHeight="1" x14ac:dyDescent="0.25">
      <c r="A51" s="70" t="s">
        <v>438</v>
      </c>
      <c r="B51" s="71" t="s">
        <v>439</v>
      </c>
      <c r="C51" s="72">
        <v>0.5</v>
      </c>
      <c r="D51" s="73" t="s">
        <v>440</v>
      </c>
    </row>
    <row r="52" spans="1:4" ht="27.75" customHeight="1" x14ac:dyDescent="0.25">
      <c r="A52" s="70" t="s">
        <v>441</v>
      </c>
      <c r="B52" s="71" t="s">
        <v>442</v>
      </c>
      <c r="C52" s="72">
        <v>0.5</v>
      </c>
      <c r="D52" s="73"/>
    </row>
    <row r="53" spans="1:4" ht="27.75" customHeight="1" x14ac:dyDescent="0.25">
      <c r="A53" s="70" t="s">
        <v>443</v>
      </c>
      <c r="B53" s="71" t="s">
        <v>444</v>
      </c>
      <c r="C53" s="72">
        <f>C52</f>
        <v>0.5</v>
      </c>
      <c r="D53" s="73"/>
    </row>
    <row r="54" spans="1:4" ht="15" customHeight="1" x14ac:dyDescent="0.25">
      <c r="A54" s="70" t="s">
        <v>445</v>
      </c>
      <c r="B54" s="71" t="s">
        <v>446</v>
      </c>
      <c r="C54" s="72">
        <v>2</v>
      </c>
      <c r="D54" s="73"/>
    </row>
    <row r="55" spans="1:4" ht="15" customHeight="1" x14ac:dyDescent="0.25">
      <c r="A55" s="70"/>
      <c r="B55" s="71"/>
      <c r="C55" s="71"/>
      <c r="D55" s="73"/>
    </row>
    <row r="56" spans="1:4" ht="27.75" customHeight="1" x14ac:dyDescent="0.25">
      <c r="A56" s="74" t="s">
        <v>447</v>
      </c>
      <c r="B56" s="71"/>
      <c r="C56" s="71"/>
      <c r="D56" s="73"/>
    </row>
    <row r="57" spans="1:4" ht="27.75" customHeight="1" x14ac:dyDescent="0.25">
      <c r="A57" s="70" t="s">
        <v>448</v>
      </c>
      <c r="B57" s="71" t="s">
        <v>449</v>
      </c>
      <c r="C57" s="72">
        <v>0.6</v>
      </c>
      <c r="D57" s="73"/>
    </row>
    <row r="58" spans="1:4" ht="27.75" customHeight="1" x14ac:dyDescent="0.25">
      <c r="A58" s="70" t="s">
        <v>450</v>
      </c>
      <c r="B58" s="71" t="s">
        <v>451</v>
      </c>
      <c r="C58" s="72">
        <v>6</v>
      </c>
      <c r="D58" s="73"/>
    </row>
    <row r="59" spans="1:4" ht="27.75" customHeight="1" x14ac:dyDescent="0.25">
      <c r="A59" s="70" t="s">
        <v>452</v>
      </c>
      <c r="B59" s="71" t="s">
        <v>453</v>
      </c>
      <c r="C59" s="72">
        <v>5</v>
      </c>
      <c r="D59" s="73"/>
    </row>
    <row r="60" spans="1:4" ht="15" customHeight="1" x14ac:dyDescent="0.25">
      <c r="A60" s="70"/>
      <c r="B60" s="71"/>
      <c r="C60" s="71"/>
      <c r="D60" s="73"/>
    </row>
    <row r="61" spans="1:4" ht="27.75" customHeight="1" x14ac:dyDescent="0.25">
      <c r="A61" s="74" t="s">
        <v>454</v>
      </c>
      <c r="B61" s="71"/>
      <c r="C61" s="71"/>
      <c r="D61" s="73"/>
    </row>
    <row r="62" spans="1:4" ht="41.25" customHeight="1" x14ac:dyDescent="0.25">
      <c r="A62" s="70" t="s">
        <v>455</v>
      </c>
      <c r="B62" s="71" t="s">
        <v>456</v>
      </c>
      <c r="C62" s="72">
        <v>0.1</v>
      </c>
      <c r="D62" s="73" t="s">
        <v>457</v>
      </c>
    </row>
    <row r="63" spans="1:4" ht="15" customHeight="1" x14ac:dyDescent="0.25">
      <c r="A63" s="70"/>
      <c r="B63" s="71"/>
      <c r="C63" s="71"/>
      <c r="D63" s="73"/>
    </row>
    <row r="64" spans="1:4" ht="27.75" customHeight="1" x14ac:dyDescent="0.25">
      <c r="A64" s="74" t="s">
        <v>458</v>
      </c>
      <c r="B64" s="71"/>
      <c r="C64" s="71"/>
      <c r="D64" s="73"/>
    </row>
    <row r="65" spans="1:4" ht="27.75" customHeight="1" x14ac:dyDescent="0.25">
      <c r="A65" s="70" t="s">
        <v>459</v>
      </c>
      <c r="B65" s="71" t="s">
        <v>460</v>
      </c>
      <c r="C65" s="72">
        <v>0.2</v>
      </c>
      <c r="D65" s="73"/>
    </row>
    <row r="66" spans="1:4" ht="27.75" customHeight="1" x14ac:dyDescent="0.25">
      <c r="A66" s="70" t="s">
        <v>461</v>
      </c>
      <c r="B66" s="71" t="s">
        <v>462</v>
      </c>
      <c r="C66" s="72">
        <v>0.02</v>
      </c>
      <c r="D66" s="73"/>
    </row>
  </sheetData>
  <mergeCells count="10">
    <mergeCell ref="B2:D2"/>
    <mergeCell ref="B28:D28"/>
    <mergeCell ref="C29:D29"/>
    <mergeCell ref="C30:D30"/>
    <mergeCell ref="C31:D31"/>
    <mergeCell ref="C32:D32"/>
    <mergeCell ref="C33:D33"/>
    <mergeCell ref="C34:D34"/>
    <mergeCell ref="C35:D35"/>
    <mergeCell ref="C36:D36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8A303"/>
    <pageSetUpPr fitToPage="1"/>
  </sheetPr>
  <dimension ref="B1:N36"/>
  <sheetViews>
    <sheetView showGridLines="0" zoomScaleNormal="100" workbookViewId="0">
      <pane xSplit="3" ySplit="4" topLeftCell="D29" activePane="bottomRight" state="frozen"/>
      <selection pane="topRight" activeCell="D1" sqref="D1"/>
      <selection pane="bottomLeft" activeCell="A29" sqref="A29"/>
      <selection pane="bottomRight" activeCell="H49" sqref="H49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24" t="s">
        <v>463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</row>
    <row r="2" spans="2:14" ht="24" customHeight="1" x14ac:dyDescent="0.25">
      <c r="B2" s="108" t="s">
        <v>464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2:14" ht="31.5" customHeight="1" x14ac:dyDescent="0.25">
      <c r="B3" s="2" t="s">
        <v>465</v>
      </c>
      <c r="C3" s="111" t="s">
        <v>466</v>
      </c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5" spans="2:14" ht="15" customHeight="1" x14ac:dyDescent="0.25">
      <c r="B5" s="9" t="s">
        <v>467</v>
      </c>
      <c r="C5" s="9" t="s">
        <v>312</v>
      </c>
      <c r="D5" s="10" t="s">
        <v>30</v>
      </c>
      <c r="E5" s="10" t="s">
        <v>25</v>
      </c>
      <c r="F5" s="10" t="s">
        <v>44</v>
      </c>
      <c r="G5" s="10" t="s">
        <v>39</v>
      </c>
      <c r="H5" s="10" t="s">
        <v>58</v>
      </c>
      <c r="I5" s="10" t="s">
        <v>59</v>
      </c>
      <c r="J5" s="10" t="s">
        <v>60</v>
      </c>
      <c r="K5" s="10" t="s">
        <v>61</v>
      </c>
      <c r="L5" s="10" t="s">
        <v>62</v>
      </c>
      <c r="M5" s="10" t="s">
        <v>63</v>
      </c>
    </row>
    <row r="6" spans="2:14" ht="15" customHeight="1" x14ac:dyDescent="0.25">
      <c r="B6" s="123" t="s">
        <v>468</v>
      </c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</row>
    <row r="7" spans="2:14" ht="15" customHeight="1" x14ac:dyDescent="0.25">
      <c r="B7" s="75" t="s">
        <v>469</v>
      </c>
      <c r="C7" s="42" t="s">
        <v>470</v>
      </c>
      <c r="D7" s="40">
        <v>26</v>
      </c>
      <c r="E7" s="40">
        <f>$D$7*(E8/$D$8)^Assumptions!$C$39</f>
        <v>22.637383646858122</v>
      </c>
      <c r="F7" s="40">
        <f>$D$7*(F8/$D$8)^Assumptions!$C$39</f>
        <v>21.753160689885966</v>
      </c>
      <c r="G7" s="40">
        <f>$D$7*(G8/$D$8)^Assumptions!$C$39</f>
        <v>21.753160689885966</v>
      </c>
      <c r="H7" s="40">
        <f>$D$7*(H8/$D$8)^Assumptions!$C$39</f>
        <v>21.753160689885966</v>
      </c>
      <c r="I7" s="40">
        <f>$D$7*(I8/$D$8)^Assumptions!$C$39</f>
        <v>21.753160689885966</v>
      </c>
      <c r="J7" s="40">
        <f>$D$7*(J8/$D$8)^Assumptions!$C$39</f>
        <v>21.753160689885966</v>
      </c>
      <c r="K7" s="40">
        <f>$D$7*(K8/$D$8)^Assumptions!$C$39</f>
        <v>21.753160689885966</v>
      </c>
      <c r="L7" s="40">
        <f>$D$7*(L8/$D$8)^Assumptions!$C$39</f>
        <v>21.753160689885966</v>
      </c>
      <c r="M7" s="40">
        <f>$D$7*(M8/$D$8)^Assumptions!$C$39</f>
        <v>21.753160689885966</v>
      </c>
    </row>
    <row r="8" spans="2:14" ht="15" customHeight="1" x14ac:dyDescent="0.25">
      <c r="B8" s="75" t="s">
        <v>471</v>
      </c>
      <c r="C8" s="42" t="s">
        <v>470</v>
      </c>
      <c r="D8" s="40">
        <v>11</v>
      </c>
      <c r="E8" s="40">
        <f>MAX($D$8*Assumptions!$C$40,$D$8*Assumptions!$C$10^LOG(MAX(1,SUM($D9:E9)),Assumptions!$C$41))</f>
        <v>8.3387019558068562</v>
      </c>
      <c r="F8" s="40">
        <f>MAX($D$8*Assumptions!$C$40,$D$8*Assumptions!$C$10^LOG(MAX(1,SUM($D9:F9)),Assumptions!$C$41))</f>
        <v>7.6999999999999993</v>
      </c>
      <c r="G8" s="40">
        <f>MAX($D$8*Assumptions!$C$40,$D$8*Assumptions!$C$10^LOG(MAX(1,SUM($D9:G9)),Assumptions!$C$41))</f>
        <v>7.6999999999999993</v>
      </c>
      <c r="H8" s="40">
        <f>MAX($D$8*Assumptions!$C$40,$D$8*Assumptions!$C$10^LOG(MAX(1,SUM($D9:H9)),Assumptions!$C$41))</f>
        <v>7.6999999999999993</v>
      </c>
      <c r="I8" s="40">
        <f>MAX($D$8*Assumptions!$C$40,$D$8*Assumptions!$C$10^LOG(MAX(1,SUM($D9:I9)),Assumptions!$C$41))</f>
        <v>7.6999999999999993</v>
      </c>
      <c r="J8" s="40">
        <f>MAX($D$8*Assumptions!$C$40,$D$8*Assumptions!$C$10^LOG(MAX(1,SUM($D9:J9)),Assumptions!$C$41))</f>
        <v>7.6999999999999993</v>
      </c>
      <c r="K8" s="40">
        <f>MAX($D$8*Assumptions!$C$40,$D$8*Assumptions!$C$10^LOG(MAX(1,SUM($D9:K9)),Assumptions!$C$41))</f>
        <v>7.6999999999999993</v>
      </c>
      <c r="L8" s="40">
        <f>MAX($D$8*Assumptions!$C$40,$D$8*Assumptions!$C$10^LOG(MAX(1,SUM($D9:L9)),Assumptions!$C$41))</f>
        <v>7.6999999999999993</v>
      </c>
      <c r="M8" s="40">
        <f>MAX($D$8*Assumptions!$C$40,$D$8*Assumptions!$C$10^LOG(MAX(1,SUM($D9:M9)),Assumptions!$C$41))</f>
        <v>7.6999999999999993</v>
      </c>
    </row>
    <row r="9" spans="2:14" ht="15" customHeight="1" x14ac:dyDescent="0.25">
      <c r="B9" s="75" t="s">
        <v>472</v>
      </c>
      <c r="C9" s="42" t="s">
        <v>470</v>
      </c>
      <c r="D9" s="76">
        <v>2</v>
      </c>
      <c r="E9" s="76">
        <v>8</v>
      </c>
      <c r="F9" s="76">
        <v>10</v>
      </c>
      <c r="G9" s="76">
        <v>20</v>
      </c>
      <c r="H9" s="76">
        <v>50</v>
      </c>
      <c r="I9" s="76">
        <v>50</v>
      </c>
      <c r="J9" s="76">
        <v>60</v>
      </c>
      <c r="K9" s="76">
        <v>60</v>
      </c>
      <c r="L9" s="76">
        <v>80</v>
      </c>
      <c r="M9" s="76">
        <v>80</v>
      </c>
    </row>
    <row r="10" spans="2:14" ht="15" customHeight="1" x14ac:dyDescent="0.25">
      <c r="B10" s="77" t="s">
        <v>473</v>
      </c>
      <c r="D10" s="12">
        <f t="shared" ref="D10:M10" si="0">D7*D9</f>
        <v>52</v>
      </c>
      <c r="E10" s="12">
        <f t="shared" si="0"/>
        <v>181.09906917486498</v>
      </c>
      <c r="F10" s="12">
        <f t="shared" si="0"/>
        <v>217.53160689885965</v>
      </c>
      <c r="G10" s="12">
        <f t="shared" si="0"/>
        <v>435.0632137977193</v>
      </c>
      <c r="H10" s="12">
        <f t="shared" si="0"/>
        <v>1087.6580344942984</v>
      </c>
      <c r="I10" s="12">
        <f t="shared" si="0"/>
        <v>1087.6580344942984</v>
      </c>
      <c r="J10" s="12">
        <f t="shared" si="0"/>
        <v>1305.1896413931579</v>
      </c>
      <c r="K10" s="12">
        <f t="shared" si="0"/>
        <v>1305.1896413931579</v>
      </c>
      <c r="L10" s="12">
        <f t="shared" si="0"/>
        <v>1740.2528551908772</v>
      </c>
      <c r="M10" s="12">
        <f t="shared" si="0"/>
        <v>1740.2528551908772</v>
      </c>
    </row>
    <row r="11" spans="2:14" ht="15" customHeight="1" x14ac:dyDescent="0.25">
      <c r="B11" s="75" t="s">
        <v>474</v>
      </c>
      <c r="D11" s="14">
        <f t="shared" ref="D11:M11" si="1">D8*D9</f>
        <v>22</v>
      </c>
      <c r="E11" s="14">
        <f t="shared" si="1"/>
        <v>66.70961564645485</v>
      </c>
      <c r="F11" s="14">
        <f t="shared" si="1"/>
        <v>77</v>
      </c>
      <c r="G11" s="14">
        <f t="shared" si="1"/>
        <v>154</v>
      </c>
      <c r="H11" s="14">
        <f t="shared" si="1"/>
        <v>384.99999999999994</v>
      </c>
      <c r="I11" s="14">
        <f t="shared" si="1"/>
        <v>384.99999999999994</v>
      </c>
      <c r="J11" s="14">
        <f t="shared" si="1"/>
        <v>461.99999999999994</v>
      </c>
      <c r="K11" s="14">
        <f t="shared" si="1"/>
        <v>461.99999999999994</v>
      </c>
      <c r="L11" s="14">
        <f t="shared" si="1"/>
        <v>616</v>
      </c>
      <c r="M11" s="14">
        <f t="shared" si="1"/>
        <v>616</v>
      </c>
    </row>
    <row r="12" spans="2:14" ht="15" customHeight="1" x14ac:dyDescent="0.25">
      <c r="B12" s="78" t="s">
        <v>475</v>
      </c>
      <c r="D12" s="13">
        <f t="shared" ref="D12:M12" si="2">IF(D7=0,0,1-D8/D7)</f>
        <v>0.57692307692307687</v>
      </c>
      <c r="E12" s="13">
        <f t="shared" si="2"/>
        <v>0.63164020692982348</v>
      </c>
      <c r="F12" s="13">
        <f t="shared" si="2"/>
        <v>0.64602845031250655</v>
      </c>
      <c r="G12" s="13">
        <f t="shared" si="2"/>
        <v>0.64602845031250655</v>
      </c>
      <c r="H12" s="13">
        <f t="shared" si="2"/>
        <v>0.64602845031250655</v>
      </c>
      <c r="I12" s="13">
        <f t="shared" si="2"/>
        <v>0.64602845031250655</v>
      </c>
      <c r="J12" s="13">
        <f t="shared" si="2"/>
        <v>0.64602845031250655</v>
      </c>
      <c r="K12" s="13">
        <f t="shared" si="2"/>
        <v>0.64602845031250655</v>
      </c>
      <c r="L12" s="13">
        <f t="shared" si="2"/>
        <v>0.64602845031250655</v>
      </c>
      <c r="M12" s="13">
        <f t="shared" si="2"/>
        <v>0.64602845031250655</v>
      </c>
    </row>
    <row r="14" spans="2:14" ht="15" customHeight="1" x14ac:dyDescent="0.25">
      <c r="B14" s="123" t="s">
        <v>476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</row>
    <row r="15" spans="2:14" ht="15" customHeight="1" x14ac:dyDescent="0.25">
      <c r="B15" s="75" t="s">
        <v>469</v>
      </c>
      <c r="C15" s="42" t="s">
        <v>470</v>
      </c>
      <c r="D15" s="40">
        <v>45</v>
      </c>
      <c r="E15" s="40">
        <f>$D$15*(E16/$D$16)^Assumptions!$C$39</f>
        <v>45</v>
      </c>
      <c r="F15" s="40">
        <f>$D$15*(F16/$D$16)^Assumptions!$C$39</f>
        <v>42.122587965806844</v>
      </c>
      <c r="G15" s="40">
        <f>$D$15*(G16/$D$16)^Assumptions!$C$39</f>
        <v>40.40256704198589</v>
      </c>
      <c r="H15" s="40">
        <f>$D$15*(H16/$D$16)^Assumptions!$C$39</f>
        <v>39.180087081100595</v>
      </c>
      <c r="I15" s="40">
        <f>$D$15*(I16/$D$16)^Assumptions!$C$39</f>
        <v>38.236137560507537</v>
      </c>
      <c r="J15" s="40">
        <f>$D$15*(J16/$D$16)^Assumptions!$C$39</f>
        <v>37.649701194033398</v>
      </c>
      <c r="K15" s="40">
        <f>$D$15*(K16/$D$16)^Assumptions!$C$39</f>
        <v>37.649701194033398</v>
      </c>
      <c r="L15" s="40">
        <f>$D$15*(L16/$D$16)^Assumptions!$C$39</f>
        <v>37.649701194033398</v>
      </c>
      <c r="M15" s="40">
        <f>$D$15*(M16/$D$16)^Assumptions!$C$39</f>
        <v>37.649701194033398</v>
      </c>
    </row>
    <row r="16" spans="2:14" ht="15" customHeight="1" x14ac:dyDescent="0.25">
      <c r="B16" s="75" t="s">
        <v>471</v>
      </c>
      <c r="C16" s="42" t="s">
        <v>470</v>
      </c>
      <c r="D16" s="40">
        <v>17.765000000000001</v>
      </c>
      <c r="E16" s="40">
        <f>MAX($D$16*Assumptions!$C$40,$D$16*Assumptions!$C$10^LOG(MAX(1,SUM($D17:E17)),Assumptions!$C$41))</f>
        <v>17.765000000000001</v>
      </c>
      <c r="F16" s="40">
        <f>MAX($D$16*Assumptions!$C$40,$D$16*Assumptions!$C$10^LOG(MAX(1,SUM($D17:F17)),Assumptions!$C$41))</f>
        <v>15.565758067599115</v>
      </c>
      <c r="G16" s="40">
        <f>MAX($D$16*Assumptions!$C$40,$D$16*Assumptions!$C$10^LOG(MAX(1,SUM($D17:G17)),Assumptions!$C$41))</f>
        <v>14.320497422191186</v>
      </c>
      <c r="H16" s="40">
        <f>MAX($D$16*Assumptions!$C$40,$D$16*Assumptions!$C$10^LOG(MAX(1,SUM($D17:H17)),Assumptions!$C$41))</f>
        <v>13.467003658628073</v>
      </c>
      <c r="I16" s="40">
        <f>MAX($D$16*Assumptions!$C$40,$D$16*Assumptions!$C$10^LOG(MAX(1,SUM($D17:I17)),Assumptions!$C$41))</f>
        <v>12.825910794654654</v>
      </c>
      <c r="J16" s="40">
        <f>MAX($D$16*Assumptions!$C$40,$D$16*Assumptions!$C$10^LOG(MAX(1,SUM($D17:J17)),Assumptions!$C$41))</f>
        <v>12.435499999999999</v>
      </c>
      <c r="K16" s="40">
        <f>MAX($D$16*Assumptions!$C$40,$D$16*Assumptions!$C$10^LOG(MAX(1,SUM($D17:K17)),Assumptions!$C$41))</f>
        <v>12.435499999999999</v>
      </c>
      <c r="L16" s="40">
        <f>MAX($D$16*Assumptions!$C$40,$D$16*Assumptions!$C$10^LOG(MAX(1,SUM($D17:L17)),Assumptions!$C$41))</f>
        <v>12.435499999999999</v>
      </c>
      <c r="M16" s="40">
        <f>MAX($D$16*Assumptions!$C$40,$D$16*Assumptions!$C$10^LOG(MAX(1,SUM($D17:M17)),Assumptions!$C$41))</f>
        <v>12.435499999999999</v>
      </c>
    </row>
    <row r="17" spans="2:14" ht="15" customHeight="1" x14ac:dyDescent="0.25">
      <c r="B17" s="75" t="s">
        <v>472</v>
      </c>
      <c r="C17" s="42" t="s">
        <v>470</v>
      </c>
      <c r="D17" s="76">
        <v>0</v>
      </c>
      <c r="E17" s="76">
        <v>1</v>
      </c>
      <c r="F17" s="76">
        <v>2</v>
      </c>
      <c r="G17" s="76">
        <v>3</v>
      </c>
      <c r="H17" s="76">
        <v>4</v>
      </c>
      <c r="I17" s="76">
        <v>5</v>
      </c>
      <c r="J17" s="76">
        <v>6</v>
      </c>
      <c r="K17" s="76">
        <v>7</v>
      </c>
      <c r="L17" s="76">
        <v>8</v>
      </c>
      <c r="M17" s="76">
        <v>8</v>
      </c>
    </row>
    <row r="18" spans="2:14" ht="15" customHeight="1" x14ac:dyDescent="0.25">
      <c r="B18" s="77" t="s">
        <v>473</v>
      </c>
      <c r="D18" s="12">
        <f t="shared" ref="D18:M18" si="3">D15*D17</f>
        <v>0</v>
      </c>
      <c r="E18" s="12">
        <f t="shared" si="3"/>
        <v>45</v>
      </c>
      <c r="F18" s="12">
        <f t="shared" si="3"/>
        <v>84.245175931613687</v>
      </c>
      <c r="G18" s="12">
        <f t="shared" si="3"/>
        <v>121.20770112595767</v>
      </c>
      <c r="H18" s="12">
        <f t="shared" si="3"/>
        <v>156.72034832440238</v>
      </c>
      <c r="I18" s="12">
        <f t="shared" si="3"/>
        <v>191.18068780253768</v>
      </c>
      <c r="J18" s="12">
        <f t="shared" si="3"/>
        <v>225.89820716420039</v>
      </c>
      <c r="K18" s="12">
        <f t="shared" si="3"/>
        <v>263.54790835823377</v>
      </c>
      <c r="L18" s="12">
        <f t="shared" si="3"/>
        <v>301.19760955226718</v>
      </c>
      <c r="M18" s="12">
        <f t="shared" si="3"/>
        <v>301.19760955226718</v>
      </c>
    </row>
    <row r="19" spans="2:14" ht="15" customHeight="1" x14ac:dyDescent="0.25">
      <c r="B19" s="75" t="s">
        <v>474</v>
      </c>
      <c r="D19" s="14">
        <f t="shared" ref="D19:M19" si="4">D16*D17</f>
        <v>0</v>
      </c>
      <c r="E19" s="14">
        <f t="shared" si="4"/>
        <v>17.765000000000001</v>
      </c>
      <c r="F19" s="14">
        <f t="shared" si="4"/>
        <v>31.131516135198229</v>
      </c>
      <c r="G19" s="14">
        <f t="shared" si="4"/>
        <v>42.961492266573558</v>
      </c>
      <c r="H19" s="14">
        <f t="shared" si="4"/>
        <v>53.868014634512292</v>
      </c>
      <c r="I19" s="14">
        <f t="shared" si="4"/>
        <v>64.129553973273261</v>
      </c>
      <c r="J19" s="14">
        <f t="shared" si="4"/>
        <v>74.613</v>
      </c>
      <c r="K19" s="14">
        <f t="shared" si="4"/>
        <v>87.04849999999999</v>
      </c>
      <c r="L19" s="14">
        <f t="shared" si="4"/>
        <v>99.483999999999995</v>
      </c>
      <c r="M19" s="14">
        <f t="shared" si="4"/>
        <v>99.483999999999995</v>
      </c>
    </row>
    <row r="20" spans="2:14" ht="15" customHeight="1" x14ac:dyDescent="0.25">
      <c r="B20" s="78" t="s">
        <v>475</v>
      </c>
      <c r="D20" s="13">
        <f t="shared" ref="D20:M20" si="5">IF(D15=0,0,1-D16/D15)</f>
        <v>0.60522222222222222</v>
      </c>
      <c r="E20" s="13">
        <f t="shared" si="5"/>
        <v>0.60522222222222222</v>
      </c>
      <c r="F20" s="13">
        <f t="shared" si="5"/>
        <v>0.63046529619132918</v>
      </c>
      <c r="G20" s="13">
        <f t="shared" si="5"/>
        <v>0.64555476370326947</v>
      </c>
      <c r="H20" s="13">
        <f t="shared" si="5"/>
        <v>0.65627938419962861</v>
      </c>
      <c r="I20" s="13">
        <f t="shared" si="5"/>
        <v>0.66456050184572035</v>
      </c>
      <c r="J20" s="13">
        <f t="shared" si="5"/>
        <v>0.6697052139693811</v>
      </c>
      <c r="K20" s="13">
        <f t="shared" si="5"/>
        <v>0.6697052139693811</v>
      </c>
      <c r="L20" s="13">
        <f t="shared" si="5"/>
        <v>0.6697052139693811</v>
      </c>
      <c r="M20" s="13">
        <f t="shared" si="5"/>
        <v>0.6697052139693811</v>
      </c>
    </row>
    <row r="22" spans="2:14" ht="15" customHeight="1" x14ac:dyDescent="0.25">
      <c r="B22" s="123" t="s">
        <v>477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</row>
    <row r="23" spans="2:14" ht="15" customHeight="1" x14ac:dyDescent="0.25">
      <c r="B23" s="75" t="s">
        <v>469</v>
      </c>
      <c r="C23" s="42" t="s">
        <v>470</v>
      </c>
      <c r="D23" s="40">
        <v>36</v>
      </c>
      <c r="E23" s="40">
        <f>$D$23*(E24/$D$24)^Assumptions!$C$39</f>
        <v>36</v>
      </c>
      <c r="F23" s="40">
        <f>$D$23*(F24/$D$24)^Assumptions!$C$39</f>
        <v>34.529986967851585</v>
      </c>
      <c r="G23" s="40">
        <f>$D$23*(G24/$D$24)^Assumptions!$C$39</f>
        <v>33.120000000000005</v>
      </c>
      <c r="H23" s="40">
        <f>$D$23*(H24/$D$24)^Assumptions!$C$39</f>
        <v>32.023757631557139</v>
      </c>
      <c r="I23" s="40">
        <f>$D$23*(I24/$D$24)^Assumptions!$C$39</f>
        <v>31.164899680244446</v>
      </c>
      <c r="J23" s="40">
        <f>$D$23*(J24/$D$24)^Assumptions!$C$39</f>
        <v>30.470400000000001</v>
      </c>
      <c r="K23" s="40">
        <f>$D$23*(K24/$D$24)^Assumptions!$C$39</f>
        <v>30.11976095522672</v>
      </c>
      <c r="L23" s="40">
        <f>$D$23*(L24/$D$24)^Assumptions!$C$39</f>
        <v>30.11976095522672</v>
      </c>
      <c r="M23" s="40">
        <f>$D$23*(M24/$D$24)^Assumptions!$C$39</f>
        <v>30.11976095522672</v>
      </c>
    </row>
    <row r="24" spans="2:14" ht="15" customHeight="1" x14ac:dyDescent="0.25">
      <c r="B24" s="75" t="s">
        <v>471</v>
      </c>
      <c r="C24" s="42" t="s">
        <v>470</v>
      </c>
      <c r="D24" s="40">
        <v>14.6775</v>
      </c>
      <c r="E24" s="40">
        <f>MAX($D$24*Assumptions!$C$40,$D$24*Assumptions!$C$10^LOG(MAX(1,SUM($D25:E25)),Assumptions!$C$41))</f>
        <v>14.6775</v>
      </c>
      <c r="F24" s="40">
        <f>MAX($D$24*Assumptions!$C$40,$D$24*Assumptions!$C$10^LOG(MAX(1,SUM($D25:F25)),Assumptions!$C$41))</f>
        <v>13.503300000000001</v>
      </c>
      <c r="G24" s="40">
        <f>MAX($D$24*Assumptions!$C$40,$D$24*Assumptions!$C$10^LOG(MAX(1,SUM($D25:G25)),Assumptions!$C$41))</f>
        <v>12.423036000000002</v>
      </c>
      <c r="H24" s="40">
        <f>MAX($D$24*Assumptions!$C$40,$D$24*Assumptions!$C$10^LOG(MAX(1,SUM($D25:H25)),Assumptions!$C$41))</f>
        <v>11.614263312598993</v>
      </c>
      <c r="I24" s="40">
        <f>MAX($D$24*Assumptions!$C$40,$D$24*Assumptions!$C$10^LOG(MAX(1,SUM($D25:I25)),Assumptions!$C$41))</f>
        <v>10.999642085416513</v>
      </c>
      <c r="J24" s="40">
        <f>MAX($D$24*Assumptions!$C$40,$D$24*Assumptions!$C$10^LOG(MAX(1,SUM($D25:J25)),Assumptions!$C$41))</f>
        <v>10.514857670400001</v>
      </c>
      <c r="K24" s="40">
        <f>MAX($D$24*Assumptions!$C$40,$D$24*Assumptions!$C$10^LOG(MAX(1,SUM($D25:K25)),Assumptions!$C$41))</f>
        <v>10.27425</v>
      </c>
      <c r="L24" s="40">
        <f>MAX($D$24*Assumptions!$C$40,$D$24*Assumptions!$C$10^LOG(MAX(1,SUM($D25:L25)),Assumptions!$C$41))</f>
        <v>10.27425</v>
      </c>
      <c r="M24" s="40">
        <f>MAX($D$24*Assumptions!$C$40,$D$24*Assumptions!$C$10^LOG(MAX(1,SUM($D25:M25)),Assumptions!$C$41))</f>
        <v>10.27425</v>
      </c>
    </row>
    <row r="25" spans="2:14" ht="15" customHeight="1" x14ac:dyDescent="0.25">
      <c r="B25" s="75" t="s">
        <v>472</v>
      </c>
      <c r="C25" s="42" t="s">
        <v>470</v>
      </c>
      <c r="D25" s="76">
        <v>0</v>
      </c>
      <c r="E25" s="76">
        <v>1</v>
      </c>
      <c r="F25" s="76">
        <v>1</v>
      </c>
      <c r="G25" s="76">
        <v>2</v>
      </c>
      <c r="H25" s="76">
        <v>3</v>
      </c>
      <c r="I25" s="76">
        <v>4</v>
      </c>
      <c r="J25" s="76">
        <v>5</v>
      </c>
      <c r="K25" s="76">
        <v>6</v>
      </c>
      <c r="L25" s="76">
        <v>6</v>
      </c>
      <c r="M25" s="76">
        <v>7</v>
      </c>
    </row>
    <row r="26" spans="2:14" ht="15" customHeight="1" x14ac:dyDescent="0.25">
      <c r="B26" s="77" t="s">
        <v>473</v>
      </c>
      <c r="D26" s="12">
        <f t="shared" ref="D26:M26" si="6">D23*D25</f>
        <v>0</v>
      </c>
      <c r="E26" s="12">
        <f t="shared" si="6"/>
        <v>36</v>
      </c>
      <c r="F26" s="12">
        <f t="shared" si="6"/>
        <v>34.529986967851585</v>
      </c>
      <c r="G26" s="12">
        <f t="shared" si="6"/>
        <v>66.240000000000009</v>
      </c>
      <c r="H26" s="12">
        <f t="shared" si="6"/>
        <v>96.071272894671409</v>
      </c>
      <c r="I26" s="12">
        <f t="shared" si="6"/>
        <v>124.65959872097778</v>
      </c>
      <c r="J26" s="12">
        <f t="shared" si="6"/>
        <v>152.352</v>
      </c>
      <c r="K26" s="12">
        <f t="shared" si="6"/>
        <v>180.71856573136031</v>
      </c>
      <c r="L26" s="12">
        <f t="shared" si="6"/>
        <v>180.71856573136031</v>
      </c>
      <c r="M26" s="12">
        <f t="shared" si="6"/>
        <v>210.83832668658704</v>
      </c>
    </row>
    <row r="27" spans="2:14" ht="15" customHeight="1" x14ac:dyDescent="0.25">
      <c r="B27" s="75" t="s">
        <v>474</v>
      </c>
      <c r="D27" s="14">
        <f t="shared" ref="D27:M27" si="7">D24*D25</f>
        <v>0</v>
      </c>
      <c r="E27" s="14">
        <f t="shared" si="7"/>
        <v>14.6775</v>
      </c>
      <c r="F27" s="14">
        <f t="shared" si="7"/>
        <v>13.503300000000001</v>
      </c>
      <c r="G27" s="14">
        <f t="shared" si="7"/>
        <v>24.846072000000003</v>
      </c>
      <c r="H27" s="14">
        <f t="shared" si="7"/>
        <v>34.842789937796979</v>
      </c>
      <c r="I27" s="14">
        <f t="shared" si="7"/>
        <v>43.998568341666051</v>
      </c>
      <c r="J27" s="14">
        <f t="shared" si="7"/>
        <v>52.574288352000011</v>
      </c>
      <c r="K27" s="14">
        <f t="shared" si="7"/>
        <v>61.645499999999998</v>
      </c>
      <c r="L27" s="14">
        <f t="shared" si="7"/>
        <v>61.645499999999998</v>
      </c>
      <c r="M27" s="14">
        <f t="shared" si="7"/>
        <v>71.919750000000008</v>
      </c>
    </row>
    <row r="28" spans="2:14" ht="15" customHeight="1" x14ac:dyDescent="0.25">
      <c r="B28" s="78" t="s">
        <v>475</v>
      </c>
      <c r="D28" s="13">
        <f t="shared" ref="D28:M28" si="8">IF(D23=0,0,1-D24/D23)</f>
        <v>0.59229166666666666</v>
      </c>
      <c r="E28" s="13">
        <f t="shared" si="8"/>
        <v>0.59229166666666666</v>
      </c>
      <c r="F28" s="13">
        <f t="shared" si="8"/>
        <v>0.60893990453654201</v>
      </c>
      <c r="G28" s="13">
        <f t="shared" si="8"/>
        <v>0.6249083333333334</v>
      </c>
      <c r="H28" s="13">
        <f t="shared" si="8"/>
        <v>0.63732353191575619</v>
      </c>
      <c r="I28" s="13">
        <f t="shared" si="8"/>
        <v>0.64705029702408345</v>
      </c>
      <c r="J28" s="13">
        <f t="shared" si="8"/>
        <v>0.65491566666666667</v>
      </c>
      <c r="K28" s="13">
        <f t="shared" si="8"/>
        <v>0.65888673501516959</v>
      </c>
      <c r="L28" s="13">
        <f t="shared" si="8"/>
        <v>0.65888673501516959</v>
      </c>
      <c r="M28" s="13">
        <f t="shared" si="8"/>
        <v>0.65888673501516959</v>
      </c>
    </row>
    <row r="30" spans="2:14" ht="21.75" customHeight="1" x14ac:dyDescent="0.25">
      <c r="B30" s="110" t="s">
        <v>478</v>
      </c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</row>
    <row r="31" spans="2:14" ht="15" customHeight="1" x14ac:dyDescent="0.25">
      <c r="B31" s="41" t="s">
        <v>64</v>
      </c>
      <c r="D31" s="43">
        <f t="shared" ref="D31:M31" si="9">D10+D18+D26</f>
        <v>52</v>
      </c>
      <c r="E31" s="43">
        <f t="shared" si="9"/>
        <v>262.09906917486501</v>
      </c>
      <c r="F31" s="43">
        <f t="shared" si="9"/>
        <v>336.30676979832492</v>
      </c>
      <c r="G31" s="43">
        <f t="shared" si="9"/>
        <v>622.51091492367698</v>
      </c>
      <c r="H31" s="43">
        <f t="shared" si="9"/>
        <v>1340.4496557133721</v>
      </c>
      <c r="I31" s="43">
        <f t="shared" si="9"/>
        <v>1403.4983210178139</v>
      </c>
      <c r="J31" s="43">
        <f t="shared" si="9"/>
        <v>1683.4398485573583</v>
      </c>
      <c r="K31" s="43">
        <f t="shared" si="9"/>
        <v>1749.456115482752</v>
      </c>
      <c r="L31" s="43">
        <f t="shared" si="9"/>
        <v>2222.1690304745048</v>
      </c>
      <c r="M31" s="43">
        <f t="shared" si="9"/>
        <v>2252.2887914297316</v>
      </c>
    </row>
    <row r="32" spans="2:14" ht="15" customHeight="1" x14ac:dyDescent="0.25">
      <c r="B32" s="41" t="s">
        <v>479</v>
      </c>
      <c r="D32" s="43">
        <f t="shared" ref="D32:M32" si="10">D11+D19+D27</f>
        <v>22</v>
      </c>
      <c r="E32" s="43">
        <f t="shared" si="10"/>
        <v>99.152115646454845</v>
      </c>
      <c r="F32" s="43">
        <f t="shared" si="10"/>
        <v>121.63481613519822</v>
      </c>
      <c r="G32" s="43">
        <f t="shared" si="10"/>
        <v>221.80756426657354</v>
      </c>
      <c r="H32" s="43">
        <f t="shared" si="10"/>
        <v>473.7108045723092</v>
      </c>
      <c r="I32" s="43">
        <f t="shared" si="10"/>
        <v>493.12812231493928</v>
      </c>
      <c r="J32" s="43">
        <f t="shared" si="10"/>
        <v>589.187288352</v>
      </c>
      <c r="K32" s="43">
        <f t="shared" si="10"/>
        <v>610.69399999999985</v>
      </c>
      <c r="L32" s="43">
        <f t="shared" si="10"/>
        <v>777.12950000000001</v>
      </c>
      <c r="M32" s="43">
        <f t="shared" si="10"/>
        <v>787.40375000000006</v>
      </c>
    </row>
    <row r="33" spans="2:13" ht="15" customHeight="1" x14ac:dyDescent="0.25">
      <c r="B33" s="41" t="s">
        <v>480</v>
      </c>
      <c r="D33" s="79">
        <f t="shared" ref="D33:M33" si="11">D9+D17+D25</f>
        <v>2</v>
      </c>
      <c r="E33" s="79">
        <f t="shared" si="11"/>
        <v>10</v>
      </c>
      <c r="F33" s="79">
        <f t="shared" si="11"/>
        <v>13</v>
      </c>
      <c r="G33" s="79">
        <f t="shared" si="11"/>
        <v>25</v>
      </c>
      <c r="H33" s="79">
        <f t="shared" si="11"/>
        <v>57</v>
      </c>
      <c r="I33" s="79">
        <f t="shared" si="11"/>
        <v>59</v>
      </c>
      <c r="J33" s="79">
        <f t="shared" si="11"/>
        <v>71</v>
      </c>
      <c r="K33" s="79">
        <f t="shared" si="11"/>
        <v>73</v>
      </c>
      <c r="L33" s="79">
        <f t="shared" si="11"/>
        <v>94</v>
      </c>
      <c r="M33" s="79">
        <f t="shared" si="11"/>
        <v>95</v>
      </c>
    </row>
    <row r="34" spans="2:13" ht="15" customHeight="1" x14ac:dyDescent="0.25">
      <c r="B34" s="41" t="s">
        <v>481</v>
      </c>
      <c r="D34" s="43">
        <f t="shared" ref="D34:M34" si="12">D31-D32</f>
        <v>30</v>
      </c>
      <c r="E34" s="43">
        <f t="shared" si="12"/>
        <v>162.94695352841018</v>
      </c>
      <c r="F34" s="43">
        <f t="shared" si="12"/>
        <v>214.67195366312671</v>
      </c>
      <c r="G34" s="43">
        <f t="shared" si="12"/>
        <v>400.70335065710344</v>
      </c>
      <c r="H34" s="43">
        <f t="shared" si="12"/>
        <v>866.73885114106292</v>
      </c>
      <c r="I34" s="43">
        <f t="shared" si="12"/>
        <v>910.37019870287463</v>
      </c>
      <c r="J34" s="43">
        <f t="shared" si="12"/>
        <v>1094.2525602053583</v>
      </c>
      <c r="K34" s="43">
        <f t="shared" si="12"/>
        <v>1138.7621154827521</v>
      </c>
      <c r="L34" s="43">
        <f t="shared" si="12"/>
        <v>1445.0395304745048</v>
      </c>
      <c r="M34" s="43">
        <f t="shared" si="12"/>
        <v>1464.8850414297317</v>
      </c>
    </row>
    <row r="35" spans="2:13" ht="15" customHeight="1" x14ac:dyDescent="0.25">
      <c r="B35" s="41" t="s">
        <v>67</v>
      </c>
      <c r="D35" s="80">
        <f t="shared" ref="D35:M35" si="13">IFERROR((D31-D32)/D31,0)</f>
        <v>0.57692307692307687</v>
      </c>
      <c r="E35" s="80">
        <f t="shared" si="13"/>
        <v>0.62169985586517529</v>
      </c>
      <c r="F35" s="80">
        <f t="shared" si="13"/>
        <v>0.63832183274770327</v>
      </c>
      <c r="G35" s="80">
        <f t="shared" si="13"/>
        <v>0.6436888752484472</v>
      </c>
      <c r="H35" s="80">
        <f t="shared" si="13"/>
        <v>0.64660306147775048</v>
      </c>
      <c r="I35" s="80">
        <f t="shared" si="13"/>
        <v>0.64864359655427029</v>
      </c>
      <c r="J35" s="80">
        <f t="shared" si="13"/>
        <v>0.6500098955974517</v>
      </c>
      <c r="K35" s="80">
        <f t="shared" si="13"/>
        <v>0.65092351011532368</v>
      </c>
      <c r="L35" s="80">
        <f t="shared" si="13"/>
        <v>0.65028335408217897</v>
      </c>
      <c r="M35" s="80">
        <f t="shared" si="13"/>
        <v>0.65039840672467075</v>
      </c>
    </row>
    <row r="36" spans="2:13" ht="15" customHeight="1" x14ac:dyDescent="0.25">
      <c r="B36" s="42" t="s">
        <v>482</v>
      </c>
      <c r="D36" s="14">
        <f>D31</f>
        <v>52</v>
      </c>
      <c r="E36" s="14">
        <f t="shared" ref="E36:M36" si="14">D36+E31</f>
        <v>314.09906917486501</v>
      </c>
      <c r="F36" s="14">
        <f t="shared" si="14"/>
        <v>650.40583897318993</v>
      </c>
      <c r="G36" s="14">
        <f t="shared" si="14"/>
        <v>1272.9167538968668</v>
      </c>
      <c r="H36" s="14">
        <f t="shared" si="14"/>
        <v>2613.3664096102389</v>
      </c>
      <c r="I36" s="14">
        <f t="shared" si="14"/>
        <v>4016.8647306280527</v>
      </c>
      <c r="J36" s="14">
        <f t="shared" si="14"/>
        <v>5700.3045791854111</v>
      </c>
      <c r="K36" s="14">
        <f t="shared" si="14"/>
        <v>7449.7606946681626</v>
      </c>
      <c r="L36" s="14">
        <f t="shared" si="14"/>
        <v>9671.9297251426669</v>
      </c>
      <c r="M36" s="14">
        <f t="shared" si="14"/>
        <v>11924.218516572399</v>
      </c>
    </row>
  </sheetData>
  <mergeCells count="7">
    <mergeCell ref="B22:M22"/>
    <mergeCell ref="B30:N30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8A303"/>
    <pageSetUpPr fitToPage="1"/>
  </sheetPr>
  <dimension ref="B1:N44"/>
  <sheetViews>
    <sheetView showGridLines="0" zoomScaleNormal="100" workbookViewId="0">
      <pane xSplit="3" ySplit="4" topLeftCell="D20" activePane="bottomRight" state="frozen"/>
      <selection pane="topRight" activeCell="D1" sqref="D1"/>
      <selection pane="bottomLeft" activeCell="A20" sqref="A20"/>
      <selection pane="bottomRight" activeCell="M44" sqref="M44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24" t="s">
        <v>463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</row>
    <row r="2" spans="2:14" ht="24" customHeight="1" x14ac:dyDescent="0.25">
      <c r="B2" s="108" t="s">
        <v>483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2:14" ht="31.5" customHeight="1" x14ac:dyDescent="0.25">
      <c r="B3" s="2" t="s">
        <v>465</v>
      </c>
      <c r="C3" s="111" t="s">
        <v>484</v>
      </c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5" spans="2:14" ht="15" customHeight="1" x14ac:dyDescent="0.25">
      <c r="B5" s="9" t="s">
        <v>467</v>
      </c>
      <c r="C5" s="9" t="s">
        <v>312</v>
      </c>
      <c r="D5" s="10" t="s">
        <v>30</v>
      </c>
      <c r="E5" s="10" t="s">
        <v>25</v>
      </c>
      <c r="F5" s="10" t="s">
        <v>44</v>
      </c>
      <c r="G5" s="10" t="s">
        <v>39</v>
      </c>
      <c r="H5" s="10" t="s">
        <v>58</v>
      </c>
      <c r="I5" s="10" t="s">
        <v>59</v>
      </c>
      <c r="J5" s="10" t="s">
        <v>60</v>
      </c>
      <c r="K5" s="10" t="s">
        <v>61</v>
      </c>
      <c r="L5" s="10" t="s">
        <v>62</v>
      </c>
      <c r="M5" s="10" t="s">
        <v>63</v>
      </c>
    </row>
    <row r="6" spans="2:14" ht="15" customHeight="1" x14ac:dyDescent="0.25">
      <c r="B6" s="123" t="s">
        <v>485</v>
      </c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</row>
    <row r="7" spans="2:14" ht="15" customHeight="1" x14ac:dyDescent="0.25">
      <c r="B7" s="75" t="s">
        <v>469</v>
      </c>
      <c r="C7" s="42" t="s">
        <v>470</v>
      </c>
      <c r="D7" s="40">
        <v>30</v>
      </c>
      <c r="E7" s="40">
        <f>$D$7*(E8/$D$8)^Assumptions!$C$39</f>
        <v>26.472990008686214</v>
      </c>
      <c r="F7" s="40">
        <f>$D$7*(F8/$D$8)^Assumptions!$C$39</f>
        <v>25.596757724058005</v>
      </c>
      <c r="G7" s="40">
        <f>$D$7*(G8/$D$8)^Assumptions!$C$39</f>
        <v>25.099800796022265</v>
      </c>
      <c r="H7" s="40">
        <f>$D$7*(H8/$D$8)^Assumptions!$C$39</f>
        <v>25.099800796022265</v>
      </c>
      <c r="I7" s="40">
        <f>$D$7*(I8/$D$8)^Assumptions!$C$39</f>
        <v>25.099800796022265</v>
      </c>
      <c r="J7" s="40">
        <f>$D$7*(J8/$D$8)^Assumptions!$C$39</f>
        <v>25.099800796022265</v>
      </c>
      <c r="K7" s="40">
        <f>$D$7*(K8/$D$8)^Assumptions!$C$39</f>
        <v>25.099800796022265</v>
      </c>
      <c r="L7" s="40">
        <f>$D$7*(L8/$D$8)^Assumptions!$C$39</f>
        <v>25.099800796022265</v>
      </c>
      <c r="M7" s="40">
        <f>$D$7*(M8/$D$8)^Assumptions!$C$39</f>
        <v>25.099800796022265</v>
      </c>
    </row>
    <row r="8" spans="2:14" ht="15" customHeight="1" x14ac:dyDescent="0.25">
      <c r="B8" s="75" t="s">
        <v>471</v>
      </c>
      <c r="C8" s="42" t="s">
        <v>470</v>
      </c>
      <c r="D8" s="40">
        <v>14</v>
      </c>
      <c r="E8" s="40">
        <f>MAX($D$8*Assumptions!$C$40,$D$8*Assumptions!$C$10^LOG(MAX(1,SUM($D9:E9)),Assumptions!$C$41))</f>
        <v>10.901632000000001</v>
      </c>
      <c r="F8" s="40">
        <f>MAX($D$8*Assumptions!$C$40,$D$8*Assumptions!$C$10^LOG(MAX(1,SUM($D9:F9)),Assumptions!$C$41))</f>
        <v>10.191906759753026</v>
      </c>
      <c r="G8" s="40">
        <f>MAX($D$8*Assumptions!$C$40,$D$8*Assumptions!$C$10^LOG(MAX(1,SUM($D9:G9)),Assumptions!$C$41))</f>
        <v>9.7999999999999989</v>
      </c>
      <c r="H8" s="40">
        <f>MAX($D$8*Assumptions!$C$40,$D$8*Assumptions!$C$10^LOG(MAX(1,SUM($D9:H9)),Assumptions!$C$41))</f>
        <v>9.7999999999999989</v>
      </c>
      <c r="I8" s="40">
        <f>MAX($D$8*Assumptions!$C$40,$D$8*Assumptions!$C$10^LOG(MAX(1,SUM($D9:I9)),Assumptions!$C$41))</f>
        <v>9.7999999999999989</v>
      </c>
      <c r="J8" s="40">
        <f>MAX($D$8*Assumptions!$C$40,$D$8*Assumptions!$C$10^LOG(MAX(1,SUM($D9:J9)),Assumptions!$C$41))</f>
        <v>9.7999999999999989</v>
      </c>
      <c r="K8" s="40">
        <f>MAX($D$8*Assumptions!$C$40,$D$8*Assumptions!$C$10^LOG(MAX(1,SUM($D9:K9)),Assumptions!$C$41))</f>
        <v>9.7999999999999989</v>
      </c>
      <c r="L8" s="40">
        <f>MAX($D$8*Assumptions!$C$40,$D$8*Assumptions!$C$10^LOG(MAX(1,SUM($D9:L9)),Assumptions!$C$41))</f>
        <v>9.7999999999999989</v>
      </c>
      <c r="M8" s="40">
        <f>MAX($D$8*Assumptions!$C$40,$D$8*Assumptions!$C$10^LOG(MAX(1,SUM($D9:M9)),Assumptions!$C$41))</f>
        <v>9.7999999999999989</v>
      </c>
    </row>
    <row r="9" spans="2:14" ht="15" customHeight="1" x14ac:dyDescent="0.25">
      <c r="B9" s="75" t="s">
        <v>472</v>
      </c>
      <c r="C9" s="42" t="s">
        <v>470</v>
      </c>
      <c r="D9" s="76">
        <v>4</v>
      </c>
      <c r="E9" s="76">
        <v>4</v>
      </c>
      <c r="F9" s="76">
        <v>6</v>
      </c>
      <c r="G9" s="76">
        <v>6</v>
      </c>
      <c r="H9" s="76">
        <v>8</v>
      </c>
      <c r="I9" s="76">
        <v>10</v>
      </c>
      <c r="J9" s="76">
        <v>12</v>
      </c>
      <c r="K9" s="76">
        <v>12</v>
      </c>
      <c r="L9" s="76">
        <v>12</v>
      </c>
      <c r="M9" s="76">
        <v>15</v>
      </c>
    </row>
    <row r="10" spans="2:14" ht="15" customHeight="1" x14ac:dyDescent="0.25">
      <c r="B10" s="77" t="s">
        <v>473</v>
      </c>
      <c r="D10" s="12">
        <f t="shared" ref="D10:M10" si="0">D7*D9</f>
        <v>120</v>
      </c>
      <c r="E10" s="12">
        <f t="shared" si="0"/>
        <v>105.89196003474486</v>
      </c>
      <c r="F10" s="12">
        <f t="shared" si="0"/>
        <v>153.58054634434802</v>
      </c>
      <c r="G10" s="12">
        <f t="shared" si="0"/>
        <v>150.59880477613359</v>
      </c>
      <c r="H10" s="12">
        <f t="shared" si="0"/>
        <v>200.79840636817812</v>
      </c>
      <c r="I10" s="12">
        <f t="shared" si="0"/>
        <v>250.99800796022265</v>
      </c>
      <c r="J10" s="12">
        <f t="shared" si="0"/>
        <v>301.19760955226718</v>
      </c>
      <c r="K10" s="12">
        <f t="shared" si="0"/>
        <v>301.19760955226718</v>
      </c>
      <c r="L10" s="12">
        <f t="shared" si="0"/>
        <v>301.19760955226718</v>
      </c>
      <c r="M10" s="12">
        <f t="shared" si="0"/>
        <v>376.497011940334</v>
      </c>
    </row>
    <row r="11" spans="2:14" ht="15" customHeight="1" x14ac:dyDescent="0.25">
      <c r="B11" s="75" t="s">
        <v>474</v>
      </c>
      <c r="D11" s="14">
        <f t="shared" ref="D11:M11" si="1">D8*D9</f>
        <v>56</v>
      </c>
      <c r="E11" s="14">
        <f t="shared" si="1"/>
        <v>43.606528000000004</v>
      </c>
      <c r="F11" s="14">
        <f t="shared" si="1"/>
        <v>61.151440558518161</v>
      </c>
      <c r="G11" s="14">
        <f t="shared" si="1"/>
        <v>58.8</v>
      </c>
      <c r="H11" s="14">
        <f t="shared" si="1"/>
        <v>78.399999999999991</v>
      </c>
      <c r="I11" s="14">
        <f t="shared" si="1"/>
        <v>97.999999999999986</v>
      </c>
      <c r="J11" s="14">
        <f t="shared" si="1"/>
        <v>117.6</v>
      </c>
      <c r="K11" s="14">
        <f t="shared" si="1"/>
        <v>117.6</v>
      </c>
      <c r="L11" s="14">
        <f t="shared" si="1"/>
        <v>117.6</v>
      </c>
      <c r="M11" s="14">
        <f t="shared" si="1"/>
        <v>146.99999999999997</v>
      </c>
    </row>
    <row r="12" spans="2:14" ht="15" customHeight="1" x14ac:dyDescent="0.25">
      <c r="B12" s="78" t="s">
        <v>475</v>
      </c>
      <c r="D12" s="13">
        <f t="shared" ref="D12:M12" si="2">IF(D7=0,0,1-D8/D7)</f>
        <v>0.53333333333333333</v>
      </c>
      <c r="E12" s="13">
        <f t="shared" si="2"/>
        <v>0.58819793319821445</v>
      </c>
      <c r="F12" s="13">
        <f t="shared" si="2"/>
        <v>0.60182821318131996</v>
      </c>
      <c r="G12" s="13">
        <f t="shared" si="2"/>
        <v>0.60955865428409806</v>
      </c>
      <c r="H12" s="13">
        <f t="shared" si="2"/>
        <v>0.60955865428409806</v>
      </c>
      <c r="I12" s="13">
        <f t="shared" si="2"/>
        <v>0.60955865428409806</v>
      </c>
      <c r="J12" s="13">
        <f t="shared" si="2"/>
        <v>0.60955865428409806</v>
      </c>
      <c r="K12" s="13">
        <f t="shared" si="2"/>
        <v>0.60955865428409806</v>
      </c>
      <c r="L12" s="13">
        <f t="shared" si="2"/>
        <v>0.60955865428409806</v>
      </c>
      <c r="M12" s="13">
        <f t="shared" si="2"/>
        <v>0.60955865428409806</v>
      </c>
    </row>
    <row r="14" spans="2:14" ht="15" customHeight="1" x14ac:dyDescent="0.25">
      <c r="B14" s="123" t="s">
        <v>486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</row>
    <row r="15" spans="2:14" ht="15" customHeight="1" x14ac:dyDescent="0.25">
      <c r="B15" s="75" t="s">
        <v>469</v>
      </c>
      <c r="C15" s="42" t="s">
        <v>470</v>
      </c>
      <c r="D15" s="40">
        <v>35</v>
      </c>
      <c r="E15" s="40">
        <f>$D$15*(E16/$D$16)^Assumptions!$C$39</f>
        <v>31.770716834969992</v>
      </c>
      <c r="F15" s="40">
        <f>$D$15*(F16/$D$16)^Assumptions!$C$39</f>
        <v>29.996291361861331</v>
      </c>
      <c r="G15" s="40">
        <f>$D$15*(G16/$D$16)^Assumptions!$C$39</f>
        <v>29.283100928692644</v>
      </c>
      <c r="H15" s="40">
        <f>$D$15*(H16/$D$16)^Assumptions!$C$39</f>
        <v>29.283100928692644</v>
      </c>
      <c r="I15" s="40">
        <f>$D$15*(I16/$D$16)^Assumptions!$C$39</f>
        <v>29.283100928692644</v>
      </c>
      <c r="J15" s="40">
        <f>$D$15*(J16/$D$16)^Assumptions!$C$39</f>
        <v>29.283100928692644</v>
      </c>
      <c r="K15" s="40">
        <f>$D$15*(K16/$D$16)^Assumptions!$C$39</f>
        <v>29.283100928692644</v>
      </c>
      <c r="L15" s="40">
        <f>$D$15*(L16/$D$16)^Assumptions!$C$39</f>
        <v>29.283100928692644</v>
      </c>
      <c r="M15" s="40">
        <f>$D$15*(M16/$D$16)^Assumptions!$C$39</f>
        <v>29.283100928692644</v>
      </c>
    </row>
    <row r="16" spans="2:14" ht="15" customHeight="1" x14ac:dyDescent="0.25">
      <c r="B16" s="75" t="s">
        <v>471</v>
      </c>
      <c r="C16" s="42" t="s">
        <v>470</v>
      </c>
      <c r="D16" s="40">
        <v>13.775</v>
      </c>
      <c r="E16" s="40">
        <f>MAX($D$16*Assumptions!$C$40,$D$16*Assumptions!$C$10^LOG(MAX(1,SUM($D17:E17)),Assumptions!$C$41))</f>
        <v>11.350357652296386</v>
      </c>
      <c r="F16" s="40">
        <f>MAX($D$16*Assumptions!$C$40,$D$16*Assumptions!$C$10^LOG(MAX(1,SUM($D17:F17)),Assumptions!$C$41))</f>
        <v>10.117906122481386</v>
      </c>
      <c r="G16" s="40">
        <f>MAX($D$16*Assumptions!$C$40,$D$16*Assumptions!$C$10^LOG(MAX(1,SUM($D17:G17)),Assumptions!$C$41))</f>
        <v>9.6425000000000001</v>
      </c>
      <c r="H16" s="40">
        <f>MAX($D$16*Assumptions!$C$40,$D$16*Assumptions!$C$10^LOG(MAX(1,SUM($D17:H17)),Assumptions!$C$41))</f>
        <v>9.6425000000000001</v>
      </c>
      <c r="I16" s="40">
        <f>MAX($D$16*Assumptions!$C$40,$D$16*Assumptions!$C$10^LOG(MAX(1,SUM($D17:I17)),Assumptions!$C$41))</f>
        <v>9.6425000000000001</v>
      </c>
      <c r="J16" s="40">
        <f>MAX($D$16*Assumptions!$C$40,$D$16*Assumptions!$C$10^LOG(MAX(1,SUM($D17:J17)),Assumptions!$C$41))</f>
        <v>9.6425000000000001</v>
      </c>
      <c r="K16" s="40">
        <f>MAX($D$16*Assumptions!$C$40,$D$16*Assumptions!$C$10^LOG(MAX(1,SUM($D17:K17)),Assumptions!$C$41))</f>
        <v>9.6425000000000001</v>
      </c>
      <c r="L16" s="40">
        <f>MAX($D$16*Assumptions!$C$40,$D$16*Assumptions!$C$10^LOG(MAX(1,SUM($D17:L17)),Assumptions!$C$41))</f>
        <v>9.6425000000000001</v>
      </c>
      <c r="M16" s="40">
        <f>MAX($D$16*Assumptions!$C$40,$D$16*Assumptions!$C$10^LOG(MAX(1,SUM($D17:M17)),Assumptions!$C$41))</f>
        <v>9.6425000000000001</v>
      </c>
    </row>
    <row r="17" spans="2:13" ht="15" customHeight="1" x14ac:dyDescent="0.25">
      <c r="B17" s="75" t="s">
        <v>472</v>
      </c>
      <c r="C17" s="42" t="s">
        <v>470</v>
      </c>
      <c r="D17" s="76">
        <v>1</v>
      </c>
      <c r="E17" s="76">
        <v>4</v>
      </c>
      <c r="F17" s="76">
        <v>8</v>
      </c>
      <c r="G17" s="76">
        <v>12</v>
      </c>
      <c r="H17" s="76">
        <v>12</v>
      </c>
      <c r="I17" s="76">
        <v>12</v>
      </c>
      <c r="J17" s="76">
        <v>15</v>
      </c>
      <c r="K17" s="76">
        <v>15</v>
      </c>
      <c r="L17" s="76">
        <v>20</v>
      </c>
      <c r="M17" s="76">
        <v>20</v>
      </c>
    </row>
    <row r="18" spans="2:13" ht="15" customHeight="1" x14ac:dyDescent="0.25">
      <c r="B18" s="77" t="s">
        <v>473</v>
      </c>
      <c r="D18" s="12">
        <f t="shared" ref="D18:M18" si="3">D15*D17</f>
        <v>35</v>
      </c>
      <c r="E18" s="12">
        <f t="shared" si="3"/>
        <v>127.08286733987997</v>
      </c>
      <c r="F18" s="12">
        <f t="shared" si="3"/>
        <v>239.97033089489065</v>
      </c>
      <c r="G18" s="12">
        <f t="shared" si="3"/>
        <v>351.39721114431171</v>
      </c>
      <c r="H18" s="12">
        <f t="shared" si="3"/>
        <v>351.39721114431171</v>
      </c>
      <c r="I18" s="12">
        <f t="shared" si="3"/>
        <v>351.39721114431171</v>
      </c>
      <c r="J18" s="12">
        <f t="shared" si="3"/>
        <v>439.24651393038965</v>
      </c>
      <c r="K18" s="12">
        <f t="shared" si="3"/>
        <v>439.24651393038965</v>
      </c>
      <c r="L18" s="12">
        <f t="shared" si="3"/>
        <v>585.66201857385283</v>
      </c>
      <c r="M18" s="12">
        <f t="shared" si="3"/>
        <v>585.66201857385283</v>
      </c>
    </row>
    <row r="19" spans="2:13" ht="15" customHeight="1" x14ac:dyDescent="0.25">
      <c r="B19" s="75" t="s">
        <v>474</v>
      </c>
      <c r="D19" s="14">
        <f t="shared" ref="D19:M19" si="4">D16*D17</f>
        <v>13.775</v>
      </c>
      <c r="E19" s="14">
        <f t="shared" si="4"/>
        <v>45.401430609185546</v>
      </c>
      <c r="F19" s="14">
        <f t="shared" si="4"/>
        <v>80.943248979851091</v>
      </c>
      <c r="G19" s="14">
        <f t="shared" si="4"/>
        <v>115.71000000000001</v>
      </c>
      <c r="H19" s="14">
        <f t="shared" si="4"/>
        <v>115.71000000000001</v>
      </c>
      <c r="I19" s="14">
        <f t="shared" si="4"/>
        <v>115.71000000000001</v>
      </c>
      <c r="J19" s="14">
        <f t="shared" si="4"/>
        <v>144.63749999999999</v>
      </c>
      <c r="K19" s="14">
        <f t="shared" si="4"/>
        <v>144.63749999999999</v>
      </c>
      <c r="L19" s="14">
        <f t="shared" si="4"/>
        <v>192.85</v>
      </c>
      <c r="M19" s="14">
        <f t="shared" si="4"/>
        <v>192.85</v>
      </c>
    </row>
    <row r="20" spans="2:13" ht="15" customHeight="1" x14ac:dyDescent="0.25">
      <c r="B20" s="78" t="s">
        <v>475</v>
      </c>
      <c r="D20" s="13">
        <f t="shared" ref="D20:M20" si="5">IF(D15=0,0,1-D16/D15)</f>
        <v>0.60642857142857143</v>
      </c>
      <c r="E20" s="13">
        <f t="shared" si="5"/>
        <v>0.64274153110064358</v>
      </c>
      <c r="F20" s="13">
        <f t="shared" si="5"/>
        <v>0.66269476448192655</v>
      </c>
      <c r="G20" s="13">
        <f t="shared" si="5"/>
        <v>0.67071451812837457</v>
      </c>
      <c r="H20" s="13">
        <f t="shared" si="5"/>
        <v>0.67071451812837457</v>
      </c>
      <c r="I20" s="13">
        <f t="shared" si="5"/>
        <v>0.67071451812837457</v>
      </c>
      <c r="J20" s="13">
        <f t="shared" si="5"/>
        <v>0.67071451812837457</v>
      </c>
      <c r="K20" s="13">
        <f t="shared" si="5"/>
        <v>0.67071451812837457</v>
      </c>
      <c r="L20" s="13">
        <f t="shared" si="5"/>
        <v>0.67071451812837457</v>
      </c>
      <c r="M20" s="13">
        <f t="shared" si="5"/>
        <v>0.67071451812837457</v>
      </c>
    </row>
    <row r="22" spans="2:13" ht="15" customHeight="1" x14ac:dyDescent="0.25">
      <c r="B22" s="123" t="s">
        <v>487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</row>
    <row r="23" spans="2:13" ht="15" customHeight="1" x14ac:dyDescent="0.25">
      <c r="B23" s="75" t="s">
        <v>469</v>
      </c>
      <c r="C23" s="42" t="s">
        <v>470</v>
      </c>
      <c r="D23" s="40">
        <v>2</v>
      </c>
      <c r="E23" s="40">
        <f>$D$23*(E24/$D$24)^Assumptions!$C$39</f>
        <v>1.6808500585387252</v>
      </c>
      <c r="F23" s="40">
        <f>$D$23*(F24/$D$24)^Assumptions!$C$39</f>
        <v>1.6733200530681511</v>
      </c>
      <c r="G23" s="40">
        <f>$D$23*(G24/$D$24)^Assumptions!$C$39</f>
        <v>1.6733200530681511</v>
      </c>
      <c r="H23" s="40">
        <f>$D$23*(H24/$D$24)^Assumptions!$C$39</f>
        <v>1.6733200530681511</v>
      </c>
      <c r="I23" s="40">
        <f>$D$23*(I24/$D$24)^Assumptions!$C$39</f>
        <v>1.6733200530681511</v>
      </c>
      <c r="J23" s="40">
        <f>$D$23*(J24/$D$24)^Assumptions!$C$39</f>
        <v>1.6733200530681511</v>
      </c>
      <c r="K23" s="40">
        <f>$D$23*(K24/$D$24)^Assumptions!$C$39</f>
        <v>1.6733200530681511</v>
      </c>
      <c r="L23" s="40">
        <f>$D$23*(L24/$D$24)^Assumptions!$C$39</f>
        <v>1.6733200530681511</v>
      </c>
      <c r="M23" s="40">
        <f>$D$23*(M24/$D$24)^Assumptions!$C$39</f>
        <v>1.6733200530681511</v>
      </c>
    </row>
    <row r="24" spans="2:13" ht="15" customHeight="1" x14ac:dyDescent="0.25">
      <c r="B24" s="75" t="s">
        <v>471</v>
      </c>
      <c r="C24" s="42" t="s">
        <v>470</v>
      </c>
      <c r="D24" s="40">
        <v>0.8075</v>
      </c>
      <c r="E24" s="40">
        <f>MAX($D$24*Assumptions!$C$40,$D$24*Assumptions!$C$10^LOG(MAX(1,SUM($D25:E25)),Assumptions!$C$41))</f>
        <v>0.57034874058159513</v>
      </c>
      <c r="F24" s="40">
        <f>MAX($D$24*Assumptions!$C$40,$D$24*Assumptions!$C$10^LOG(MAX(1,SUM($D25:F25)),Assumptions!$C$41))</f>
        <v>0.56524999999999992</v>
      </c>
      <c r="G24" s="40">
        <f>MAX($D$24*Assumptions!$C$40,$D$24*Assumptions!$C$10^LOG(MAX(1,SUM($D25:G25)),Assumptions!$C$41))</f>
        <v>0.56524999999999992</v>
      </c>
      <c r="H24" s="40">
        <f>MAX($D$24*Assumptions!$C$40,$D$24*Assumptions!$C$10^LOG(MAX(1,SUM($D25:H25)),Assumptions!$C$41))</f>
        <v>0.56524999999999992</v>
      </c>
      <c r="I24" s="40">
        <f>MAX($D$24*Assumptions!$C$40,$D$24*Assumptions!$C$10^LOG(MAX(1,SUM($D25:I25)),Assumptions!$C$41))</f>
        <v>0.56524999999999992</v>
      </c>
      <c r="J24" s="40">
        <f>MAX($D$24*Assumptions!$C$40,$D$24*Assumptions!$C$10^LOG(MAX(1,SUM($D25:J25)),Assumptions!$C$41))</f>
        <v>0.56524999999999992</v>
      </c>
      <c r="K24" s="40">
        <f>MAX($D$24*Assumptions!$C$40,$D$24*Assumptions!$C$10^LOG(MAX(1,SUM($D25:K25)),Assumptions!$C$41))</f>
        <v>0.56524999999999992</v>
      </c>
      <c r="L24" s="40">
        <f>MAX($D$24*Assumptions!$C$40,$D$24*Assumptions!$C$10^LOG(MAX(1,SUM($D25:L25)),Assumptions!$C$41))</f>
        <v>0.56524999999999992</v>
      </c>
      <c r="M24" s="40">
        <f>MAX($D$24*Assumptions!$C$40,$D$24*Assumptions!$C$10^LOG(MAX(1,SUM($D25:M25)),Assumptions!$C$41))</f>
        <v>0.56524999999999992</v>
      </c>
    </row>
    <row r="25" spans="2:13" ht="15" customHeight="1" x14ac:dyDescent="0.25">
      <c r="B25" s="75" t="s">
        <v>472</v>
      </c>
      <c r="C25" s="42" t="s">
        <v>470</v>
      </c>
      <c r="D25" s="76">
        <v>6</v>
      </c>
      <c r="E25" s="76">
        <v>12</v>
      </c>
      <c r="F25" s="76">
        <v>20</v>
      </c>
      <c r="G25" s="76">
        <v>30</v>
      </c>
      <c r="H25" s="76">
        <v>40</v>
      </c>
      <c r="I25" s="76">
        <v>50</v>
      </c>
      <c r="J25" s="76">
        <v>60</v>
      </c>
      <c r="K25" s="76">
        <v>70</v>
      </c>
      <c r="L25" s="76">
        <v>75</v>
      </c>
      <c r="M25" s="76">
        <v>80</v>
      </c>
    </row>
    <row r="26" spans="2:13" ht="15" customHeight="1" x14ac:dyDescent="0.25">
      <c r="B26" s="77" t="s">
        <v>473</v>
      </c>
      <c r="D26" s="12">
        <f t="shared" ref="D26:M26" si="6">D23*D25</f>
        <v>12</v>
      </c>
      <c r="E26" s="12">
        <f t="shared" si="6"/>
        <v>20.170200702464701</v>
      </c>
      <c r="F26" s="12">
        <f t="shared" si="6"/>
        <v>33.466401061363023</v>
      </c>
      <c r="G26" s="12">
        <f t="shared" si="6"/>
        <v>50.19960159204453</v>
      </c>
      <c r="H26" s="12">
        <f t="shared" si="6"/>
        <v>66.932802122726045</v>
      </c>
      <c r="I26" s="12">
        <f t="shared" si="6"/>
        <v>83.66600265340756</v>
      </c>
      <c r="J26" s="12">
        <f t="shared" si="6"/>
        <v>100.39920318408906</v>
      </c>
      <c r="K26" s="12">
        <f t="shared" si="6"/>
        <v>117.13240371477058</v>
      </c>
      <c r="L26" s="12">
        <f t="shared" si="6"/>
        <v>125.49900398011134</v>
      </c>
      <c r="M26" s="12">
        <f t="shared" si="6"/>
        <v>133.86560424545209</v>
      </c>
    </row>
    <row r="27" spans="2:13" ht="15" customHeight="1" x14ac:dyDescent="0.25">
      <c r="B27" s="75" t="s">
        <v>474</v>
      </c>
      <c r="D27" s="14">
        <f t="shared" ref="D27:M27" si="7">D24*D25</f>
        <v>4.8449999999999998</v>
      </c>
      <c r="E27" s="14">
        <f t="shared" si="7"/>
        <v>6.8441848869791411</v>
      </c>
      <c r="F27" s="14">
        <f t="shared" si="7"/>
        <v>11.304999999999998</v>
      </c>
      <c r="G27" s="14">
        <f t="shared" si="7"/>
        <v>16.957499999999996</v>
      </c>
      <c r="H27" s="14">
        <f t="shared" si="7"/>
        <v>22.609999999999996</v>
      </c>
      <c r="I27" s="14">
        <f t="shared" si="7"/>
        <v>28.262499999999996</v>
      </c>
      <c r="J27" s="14">
        <f t="shared" si="7"/>
        <v>33.914999999999992</v>
      </c>
      <c r="K27" s="14">
        <f t="shared" si="7"/>
        <v>39.567499999999995</v>
      </c>
      <c r="L27" s="14">
        <f t="shared" si="7"/>
        <v>42.393749999999997</v>
      </c>
      <c r="M27" s="14">
        <f t="shared" si="7"/>
        <v>45.219999999999992</v>
      </c>
    </row>
    <row r="28" spans="2:13" ht="15" customHeight="1" x14ac:dyDescent="0.25">
      <c r="B28" s="78" t="s">
        <v>475</v>
      </c>
      <c r="D28" s="13">
        <f t="shared" ref="D28:M28" si="8">IF(D23=0,0,1-D24/D23)</f>
        <v>0.59624999999999995</v>
      </c>
      <c r="E28" s="13">
        <f t="shared" si="8"/>
        <v>0.66067839443249499</v>
      </c>
      <c r="F28" s="13">
        <f t="shared" si="8"/>
        <v>0.66219851428686705</v>
      </c>
      <c r="G28" s="13">
        <f t="shared" si="8"/>
        <v>0.66219851428686705</v>
      </c>
      <c r="H28" s="13">
        <f t="shared" si="8"/>
        <v>0.66219851428686705</v>
      </c>
      <c r="I28" s="13">
        <f t="shared" si="8"/>
        <v>0.66219851428686705</v>
      </c>
      <c r="J28" s="13">
        <f t="shared" si="8"/>
        <v>0.66219851428686705</v>
      </c>
      <c r="K28" s="13">
        <f t="shared" si="8"/>
        <v>0.66219851428686705</v>
      </c>
      <c r="L28" s="13">
        <f t="shared" si="8"/>
        <v>0.66219851428686705</v>
      </c>
      <c r="M28" s="13">
        <f t="shared" si="8"/>
        <v>0.66219851428686705</v>
      </c>
    </row>
    <row r="30" spans="2:13" ht="15" customHeight="1" x14ac:dyDescent="0.25">
      <c r="B30" s="123" t="s">
        <v>488</v>
      </c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</row>
    <row r="31" spans="2:13" ht="15" customHeight="1" x14ac:dyDescent="0.25">
      <c r="B31" s="75" t="s">
        <v>469</v>
      </c>
      <c r="C31" s="42" t="s">
        <v>470</v>
      </c>
      <c r="D31" s="40">
        <v>114</v>
      </c>
      <c r="E31" s="40">
        <f>$D$31*(E32/$D$32)^Assumptions!$C$39</f>
        <v>114</v>
      </c>
      <c r="F31" s="40">
        <f>$D$31*(F32/$D$32)^Assumptions!$C$39</f>
        <v>106.71055618004399</v>
      </c>
      <c r="G31" s="40">
        <f>$D$31*(G32/$D$32)^Assumptions!$C$39</f>
        <v>101.40856583326429</v>
      </c>
      <c r="H31" s="40">
        <f>$D$31*(H32/$D$32)^Assumptions!$C$39</f>
        <v>98.688848987440736</v>
      </c>
      <c r="I31" s="40">
        <f>$D$31*(I32/$D$32)^Assumptions!$C$39</f>
        <v>96.86488181995243</v>
      </c>
      <c r="J31" s="40">
        <f>$D$31*(J32/$D$32)^Assumptions!$C$39</f>
        <v>95.497391505088117</v>
      </c>
      <c r="K31" s="40">
        <f>$D$31*(K32/$D$32)^Assumptions!$C$39</f>
        <v>95.379243024884616</v>
      </c>
      <c r="L31" s="40">
        <f>$D$31*(L32/$D$32)^Assumptions!$C$39</f>
        <v>95.379243024884616</v>
      </c>
      <c r="M31" s="40">
        <f>$D$31*(M32/$D$32)^Assumptions!$C$39</f>
        <v>95.379243024884616</v>
      </c>
    </row>
    <row r="32" spans="2:13" ht="15" customHeight="1" x14ac:dyDescent="0.25">
      <c r="B32" s="75" t="s">
        <v>471</v>
      </c>
      <c r="C32" s="42" t="s">
        <v>470</v>
      </c>
      <c r="D32" s="40">
        <v>60</v>
      </c>
      <c r="E32" s="40">
        <f>MAX($D$32*Assumptions!$C$40,$D$32*Assumptions!$C$10^LOG(MAX(1,SUM($D33:E33)),Assumptions!$C$41))</f>
        <v>60</v>
      </c>
      <c r="F32" s="40">
        <f>MAX($D$32*Assumptions!$C$40,$D$32*Assumptions!$C$10^LOG(MAX(1,SUM($D33:F33)),Assumptions!$C$41))</f>
        <v>52.5722197611003</v>
      </c>
      <c r="G32" s="40">
        <f>MAX($D$32*Assumptions!$C$40,$D$32*Assumptions!$C$10^LOG(MAX(1,SUM($D33:G33)),Assumptions!$C$41))</f>
        <v>47.477826520588629</v>
      </c>
      <c r="H32" s="40">
        <f>MAX($D$32*Assumptions!$C$40,$D$32*Assumptions!$C$10^LOG(MAX(1,SUM($D33:H33)),Assumptions!$C$41))</f>
        <v>44.965322781467606</v>
      </c>
      <c r="I32" s="40">
        <f>MAX($D$32*Assumptions!$C$40,$D$32*Assumptions!$C$10^LOG(MAX(1,SUM($D33:I33)),Assumptions!$C$41))</f>
        <v>43.318584164327561</v>
      </c>
      <c r="J32" s="40">
        <f>MAX($D$32*Assumptions!$C$40,$D$32*Assumptions!$C$10^LOG(MAX(1,SUM($D33:J33)),Assumptions!$C$41))</f>
        <v>42.104117194257043</v>
      </c>
      <c r="K32" s="40">
        <f>MAX($D$32*Assumptions!$C$40,$D$32*Assumptions!$C$10^LOG(MAX(1,SUM($D33:K33)),Assumptions!$C$41))</f>
        <v>42</v>
      </c>
      <c r="L32" s="40">
        <f>MAX($D$32*Assumptions!$C$40,$D$32*Assumptions!$C$10^LOG(MAX(1,SUM($D33:L33)),Assumptions!$C$41))</f>
        <v>42</v>
      </c>
      <c r="M32" s="40">
        <f>MAX($D$32*Assumptions!$C$40,$D$32*Assumptions!$C$10^LOG(MAX(1,SUM($D33:M33)),Assumptions!$C$41))</f>
        <v>42</v>
      </c>
    </row>
    <row r="33" spans="2:14" ht="15" customHeight="1" x14ac:dyDescent="0.25">
      <c r="B33" s="75" t="s">
        <v>472</v>
      </c>
      <c r="C33" s="42" t="s">
        <v>470</v>
      </c>
      <c r="D33" s="76">
        <v>0</v>
      </c>
      <c r="E33" s="76">
        <v>1</v>
      </c>
      <c r="F33" s="76">
        <v>2</v>
      </c>
      <c r="G33" s="76">
        <v>4</v>
      </c>
      <c r="H33" s="76">
        <v>4</v>
      </c>
      <c r="I33" s="76">
        <v>4</v>
      </c>
      <c r="J33" s="76">
        <v>4</v>
      </c>
      <c r="K33" s="76">
        <v>8</v>
      </c>
      <c r="L33" s="76">
        <v>8</v>
      </c>
      <c r="M33" s="76">
        <v>8</v>
      </c>
    </row>
    <row r="34" spans="2:14" ht="15" customHeight="1" x14ac:dyDescent="0.25">
      <c r="B34" s="77" t="s">
        <v>473</v>
      </c>
      <c r="D34" s="12">
        <f t="shared" ref="D34:M34" si="9">D31*D33</f>
        <v>0</v>
      </c>
      <c r="E34" s="12">
        <f t="shared" si="9"/>
        <v>114</v>
      </c>
      <c r="F34" s="12">
        <f t="shared" si="9"/>
        <v>213.42111236008799</v>
      </c>
      <c r="G34" s="12">
        <f t="shared" si="9"/>
        <v>405.63426333305716</v>
      </c>
      <c r="H34" s="12">
        <f t="shared" si="9"/>
        <v>394.75539594976294</v>
      </c>
      <c r="I34" s="12">
        <f t="shared" si="9"/>
        <v>387.45952727980972</v>
      </c>
      <c r="J34" s="12">
        <f t="shared" si="9"/>
        <v>381.98956602035247</v>
      </c>
      <c r="K34" s="12">
        <f t="shared" si="9"/>
        <v>763.03394419907693</v>
      </c>
      <c r="L34" s="12">
        <f t="shared" si="9"/>
        <v>763.03394419907693</v>
      </c>
      <c r="M34" s="12">
        <f t="shared" si="9"/>
        <v>763.03394419907693</v>
      </c>
    </row>
    <row r="35" spans="2:14" ht="15" customHeight="1" x14ac:dyDescent="0.25">
      <c r="B35" s="75" t="s">
        <v>474</v>
      </c>
      <c r="D35" s="14">
        <f t="shared" ref="D35:M35" si="10">D32*D33</f>
        <v>0</v>
      </c>
      <c r="E35" s="14">
        <f t="shared" si="10"/>
        <v>60</v>
      </c>
      <c r="F35" s="14">
        <f t="shared" si="10"/>
        <v>105.1444395222006</v>
      </c>
      <c r="G35" s="14">
        <f t="shared" si="10"/>
        <v>189.91130608235451</v>
      </c>
      <c r="H35" s="14">
        <f t="shared" si="10"/>
        <v>179.86129112587042</v>
      </c>
      <c r="I35" s="14">
        <f t="shared" si="10"/>
        <v>173.27433665731024</v>
      </c>
      <c r="J35" s="14">
        <f t="shared" si="10"/>
        <v>168.41646877702817</v>
      </c>
      <c r="K35" s="14">
        <f t="shared" si="10"/>
        <v>336</v>
      </c>
      <c r="L35" s="14">
        <f t="shared" si="10"/>
        <v>336</v>
      </c>
      <c r="M35" s="14">
        <f t="shared" si="10"/>
        <v>336</v>
      </c>
    </row>
    <row r="36" spans="2:14" ht="15" customHeight="1" x14ac:dyDescent="0.25">
      <c r="B36" s="78" t="s">
        <v>475</v>
      </c>
      <c r="D36" s="13">
        <f t="shared" ref="D36:M36" si="11">IF(D31=0,0,1-D32/D31)</f>
        <v>0.47368421052631582</v>
      </c>
      <c r="E36" s="13">
        <f t="shared" si="11"/>
        <v>0.47368421052631582</v>
      </c>
      <c r="F36" s="13">
        <f t="shared" si="11"/>
        <v>0.50733815244670366</v>
      </c>
      <c r="G36" s="13">
        <f t="shared" si="11"/>
        <v>0.53181640889536341</v>
      </c>
      <c r="H36" s="13">
        <f t="shared" si="11"/>
        <v>0.54437281169233265</v>
      </c>
      <c r="I36" s="13">
        <f t="shared" si="11"/>
        <v>0.55279371274260192</v>
      </c>
      <c r="J36" s="13">
        <f t="shared" si="11"/>
        <v>0.55910714909931625</v>
      </c>
      <c r="K36" s="13">
        <f t="shared" si="11"/>
        <v>0.55965261761364449</v>
      </c>
      <c r="L36" s="13">
        <f t="shared" si="11"/>
        <v>0.55965261761364449</v>
      </c>
      <c r="M36" s="13">
        <f t="shared" si="11"/>
        <v>0.55965261761364449</v>
      </c>
    </row>
    <row r="38" spans="2:14" ht="21.75" customHeight="1" x14ac:dyDescent="0.25">
      <c r="B38" s="110" t="s">
        <v>489</v>
      </c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</row>
    <row r="39" spans="2:14" ht="15" customHeight="1" x14ac:dyDescent="0.25">
      <c r="B39" s="41" t="s">
        <v>64</v>
      </c>
      <c r="D39" s="43">
        <f t="shared" ref="D39:M39" si="12">D10+D18+D26+D34</f>
        <v>167</v>
      </c>
      <c r="E39" s="43">
        <f t="shared" si="12"/>
        <v>367.14502807708953</v>
      </c>
      <c r="F39" s="43">
        <f t="shared" si="12"/>
        <v>640.43839066068972</v>
      </c>
      <c r="G39" s="43">
        <f t="shared" si="12"/>
        <v>957.829880845547</v>
      </c>
      <c r="H39" s="43">
        <f t="shared" si="12"/>
        <v>1013.8838155849788</v>
      </c>
      <c r="I39" s="43">
        <f t="shared" si="12"/>
        <v>1073.5207490377516</v>
      </c>
      <c r="J39" s="43">
        <f t="shared" si="12"/>
        <v>1222.8328926870984</v>
      </c>
      <c r="K39" s="43">
        <f t="shared" si="12"/>
        <v>1620.6104713965042</v>
      </c>
      <c r="L39" s="43">
        <f t="shared" si="12"/>
        <v>1775.3925763053082</v>
      </c>
      <c r="M39" s="43">
        <f t="shared" si="12"/>
        <v>1859.0585789587158</v>
      </c>
    </row>
    <row r="40" spans="2:14" ht="15" customHeight="1" x14ac:dyDescent="0.25">
      <c r="B40" s="41" t="s">
        <v>479</v>
      </c>
      <c r="D40" s="43">
        <f t="shared" ref="D40:M40" si="13">D11+D19+D27+D35</f>
        <v>74.62</v>
      </c>
      <c r="E40" s="43">
        <f t="shared" si="13"/>
        <v>155.85214349616467</v>
      </c>
      <c r="F40" s="43">
        <f t="shared" si="13"/>
        <v>258.54412906056984</v>
      </c>
      <c r="G40" s="43">
        <f t="shared" si="13"/>
        <v>381.37880608235446</v>
      </c>
      <c r="H40" s="43">
        <f t="shared" si="13"/>
        <v>396.58129112587039</v>
      </c>
      <c r="I40" s="43">
        <f t="shared" si="13"/>
        <v>415.24683665731021</v>
      </c>
      <c r="J40" s="43">
        <f t="shared" si="13"/>
        <v>464.56896877702809</v>
      </c>
      <c r="K40" s="43">
        <f t="shared" si="13"/>
        <v>637.80499999999995</v>
      </c>
      <c r="L40" s="43">
        <f t="shared" si="13"/>
        <v>688.84375</v>
      </c>
      <c r="M40" s="43">
        <f t="shared" si="13"/>
        <v>721.06999999999994</v>
      </c>
    </row>
    <row r="41" spans="2:14" ht="15" customHeight="1" x14ac:dyDescent="0.25">
      <c r="B41" s="41" t="s">
        <v>480</v>
      </c>
      <c r="D41" s="79">
        <f t="shared" ref="D41:M41" si="14">D9+D17+D25+D33</f>
        <v>11</v>
      </c>
      <c r="E41" s="79">
        <f t="shared" si="14"/>
        <v>21</v>
      </c>
      <c r="F41" s="79">
        <f t="shared" si="14"/>
        <v>36</v>
      </c>
      <c r="G41" s="79">
        <f t="shared" si="14"/>
        <v>52</v>
      </c>
      <c r="H41" s="79">
        <f t="shared" si="14"/>
        <v>64</v>
      </c>
      <c r="I41" s="79">
        <f t="shared" si="14"/>
        <v>76</v>
      </c>
      <c r="J41" s="79">
        <f t="shared" si="14"/>
        <v>91</v>
      </c>
      <c r="K41" s="79">
        <f t="shared" si="14"/>
        <v>105</v>
      </c>
      <c r="L41" s="79">
        <f t="shared" si="14"/>
        <v>115</v>
      </c>
      <c r="M41" s="79">
        <f t="shared" si="14"/>
        <v>123</v>
      </c>
    </row>
    <row r="42" spans="2:14" ht="15" customHeight="1" x14ac:dyDescent="0.25">
      <c r="B42" s="41" t="s">
        <v>481</v>
      </c>
      <c r="D42" s="43">
        <f t="shared" ref="D42:M42" si="15">D39-D40</f>
        <v>92.38</v>
      </c>
      <c r="E42" s="43">
        <f t="shared" si="15"/>
        <v>211.29288458092486</v>
      </c>
      <c r="F42" s="43">
        <f t="shared" si="15"/>
        <v>381.89426160011988</v>
      </c>
      <c r="G42" s="43">
        <f t="shared" si="15"/>
        <v>576.45107476319254</v>
      </c>
      <c r="H42" s="43">
        <f t="shared" si="15"/>
        <v>617.30252445910844</v>
      </c>
      <c r="I42" s="43">
        <f t="shared" si="15"/>
        <v>658.27391238044129</v>
      </c>
      <c r="J42" s="43">
        <f t="shared" si="15"/>
        <v>758.26392391007028</v>
      </c>
      <c r="K42" s="43">
        <f t="shared" si="15"/>
        <v>982.80547139650423</v>
      </c>
      <c r="L42" s="43">
        <f t="shared" si="15"/>
        <v>1086.5488263053082</v>
      </c>
      <c r="M42" s="43">
        <f t="shared" si="15"/>
        <v>1137.9885789587158</v>
      </c>
    </row>
    <row r="43" spans="2:14" ht="15" customHeight="1" x14ac:dyDescent="0.25">
      <c r="B43" s="41" t="s">
        <v>67</v>
      </c>
      <c r="D43" s="80">
        <f t="shared" ref="D43:M43" si="16">IFERROR((D39-D40)/D39,0)</f>
        <v>0.55317365269461072</v>
      </c>
      <c r="E43" s="80">
        <f t="shared" si="16"/>
        <v>0.57550250833455285</v>
      </c>
      <c r="F43" s="80">
        <f t="shared" si="16"/>
        <v>0.59630132604347741</v>
      </c>
      <c r="G43" s="80">
        <f t="shared" si="16"/>
        <v>0.60183033155565857</v>
      </c>
      <c r="H43" s="80">
        <f t="shared" si="16"/>
        <v>0.60884937205841916</v>
      </c>
      <c r="I43" s="80">
        <f t="shared" si="16"/>
        <v>0.61319160618971169</v>
      </c>
      <c r="J43" s="80">
        <f t="shared" si="16"/>
        <v>0.62008793551818275</v>
      </c>
      <c r="K43" s="80">
        <f t="shared" si="16"/>
        <v>0.60644151617112907</v>
      </c>
      <c r="L43" s="80">
        <f t="shared" si="16"/>
        <v>0.61200482687974145</v>
      </c>
      <c r="M43" s="80">
        <f t="shared" si="16"/>
        <v>0.61213164116437835</v>
      </c>
    </row>
    <row r="44" spans="2:14" ht="15" customHeight="1" x14ac:dyDescent="0.25">
      <c r="B44" s="42" t="s">
        <v>482</v>
      </c>
      <c r="D44" s="14">
        <f>D39</f>
        <v>167</v>
      </c>
      <c r="E44" s="14">
        <f t="shared" ref="E44:M44" si="17">D44+E39</f>
        <v>534.14502807708959</v>
      </c>
      <c r="F44" s="14">
        <f t="shared" si="17"/>
        <v>1174.5834187377793</v>
      </c>
      <c r="G44" s="14">
        <f t="shared" si="17"/>
        <v>2132.4132995833261</v>
      </c>
      <c r="H44" s="14">
        <f t="shared" si="17"/>
        <v>3146.297115168305</v>
      </c>
      <c r="I44" s="14">
        <f t="shared" si="17"/>
        <v>4219.8178642060566</v>
      </c>
      <c r="J44" s="14">
        <f t="shared" si="17"/>
        <v>5442.6507568931547</v>
      </c>
      <c r="K44" s="14">
        <f t="shared" si="17"/>
        <v>7063.2612282896589</v>
      </c>
      <c r="L44" s="14">
        <f t="shared" si="17"/>
        <v>8838.6538045949674</v>
      </c>
      <c r="M44" s="14">
        <f t="shared" si="17"/>
        <v>10697.712383553684</v>
      </c>
    </row>
  </sheetData>
  <mergeCells count="8">
    <mergeCell ref="B22:M22"/>
    <mergeCell ref="B30:M30"/>
    <mergeCell ref="B38:N38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8A303"/>
    <pageSetUpPr fitToPage="1"/>
  </sheetPr>
  <dimension ref="B1:N36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26" sqref="D26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24" t="s">
        <v>463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</row>
    <row r="2" spans="2:14" ht="24" customHeight="1" x14ac:dyDescent="0.25">
      <c r="B2" s="108" t="s">
        <v>490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2:14" ht="31.5" customHeight="1" x14ac:dyDescent="0.25">
      <c r="B3" s="2" t="s">
        <v>465</v>
      </c>
      <c r="C3" s="111" t="s">
        <v>491</v>
      </c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5" spans="2:14" ht="15" customHeight="1" x14ac:dyDescent="0.25">
      <c r="B5" s="9" t="s">
        <v>467</v>
      </c>
      <c r="C5" s="9" t="s">
        <v>312</v>
      </c>
      <c r="D5" s="10" t="s">
        <v>30</v>
      </c>
      <c r="E5" s="10" t="s">
        <v>25</v>
      </c>
      <c r="F5" s="10" t="s">
        <v>44</v>
      </c>
      <c r="G5" s="10" t="s">
        <v>39</v>
      </c>
      <c r="H5" s="10" t="s">
        <v>58</v>
      </c>
      <c r="I5" s="10" t="s">
        <v>59</v>
      </c>
      <c r="J5" s="10" t="s">
        <v>60</v>
      </c>
      <c r="K5" s="10" t="s">
        <v>61</v>
      </c>
      <c r="L5" s="10" t="s">
        <v>62</v>
      </c>
      <c r="M5" s="10" t="s">
        <v>63</v>
      </c>
    </row>
    <row r="6" spans="2:14" ht="15" customHeight="1" x14ac:dyDescent="0.25">
      <c r="B6" s="125" t="s">
        <v>492</v>
      </c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</row>
    <row r="7" spans="2:14" ht="15" customHeight="1" x14ac:dyDescent="0.25">
      <c r="B7" s="75" t="s">
        <v>469</v>
      </c>
      <c r="C7" s="42" t="s">
        <v>470</v>
      </c>
      <c r="D7" s="40">
        <v>1.5</v>
      </c>
      <c r="E7" s="40">
        <f>$D$7*(E8/$D$8)^Assumptions!$C$39</f>
        <v>1.3060029027033533</v>
      </c>
      <c r="F7" s="40">
        <f>$D$7*(F8/$D$8)^Assumptions!$C$39</f>
        <v>1.2549900398011133</v>
      </c>
      <c r="G7" s="40">
        <f>$D$7*(G8/$D$8)^Assumptions!$C$39</f>
        <v>1.2549900398011133</v>
      </c>
      <c r="H7" s="40">
        <f>$D$7*(H8/$D$8)^Assumptions!$C$39</f>
        <v>1.2549900398011133</v>
      </c>
      <c r="I7" s="40">
        <f>$D$7*(I8/$D$8)^Assumptions!$C$39</f>
        <v>1.2549900398011133</v>
      </c>
      <c r="J7" s="40">
        <f>$D$7*(J8/$D$8)^Assumptions!$C$39</f>
        <v>1.2549900398011133</v>
      </c>
      <c r="K7" s="40">
        <f>$D$7*(K8/$D$8)^Assumptions!$C$39</f>
        <v>1.2549900398011133</v>
      </c>
      <c r="L7" s="40">
        <f>$D$7*(L8/$D$8)^Assumptions!$C$39</f>
        <v>1.2549900398011133</v>
      </c>
      <c r="M7" s="40">
        <f>$D$7*(M8/$D$8)^Assumptions!$C$39</f>
        <v>1.2549900398011133</v>
      </c>
    </row>
    <row r="8" spans="2:14" ht="15" customHeight="1" x14ac:dyDescent="0.25">
      <c r="B8" s="75" t="s">
        <v>471</v>
      </c>
      <c r="C8" s="42" t="s">
        <v>470</v>
      </c>
      <c r="D8" s="40">
        <v>0.9</v>
      </c>
      <c r="E8" s="40">
        <f>MAX($D$8*Assumptions!$C$40,$D$8*Assumptions!$C$10^LOG(MAX(1,SUM($D9:E9)),Assumptions!$C$41))</f>
        <v>0.68225743274783368</v>
      </c>
      <c r="F8" s="40">
        <f>MAX($D$8*Assumptions!$C$40,$D$8*Assumptions!$C$10^LOG(MAX(1,SUM($D9:F9)),Assumptions!$C$41))</f>
        <v>0.63</v>
      </c>
      <c r="G8" s="40">
        <f>MAX($D$8*Assumptions!$C$40,$D$8*Assumptions!$C$10^LOG(MAX(1,SUM($D9:G9)),Assumptions!$C$41))</f>
        <v>0.63</v>
      </c>
      <c r="H8" s="40">
        <f>MAX($D$8*Assumptions!$C$40,$D$8*Assumptions!$C$10^LOG(MAX(1,SUM($D9:H9)),Assumptions!$C$41))</f>
        <v>0.63</v>
      </c>
      <c r="I8" s="40">
        <f>MAX($D$8*Assumptions!$C$40,$D$8*Assumptions!$C$10^LOG(MAX(1,SUM($D9:I9)),Assumptions!$C$41))</f>
        <v>0.63</v>
      </c>
      <c r="J8" s="40">
        <f>MAX($D$8*Assumptions!$C$40,$D$8*Assumptions!$C$10^LOG(MAX(1,SUM($D9:J9)),Assumptions!$C$41))</f>
        <v>0.63</v>
      </c>
      <c r="K8" s="40">
        <f>MAX($D$8*Assumptions!$C$40,$D$8*Assumptions!$C$10^LOG(MAX(1,SUM($D9:K9)),Assumptions!$C$41))</f>
        <v>0.63</v>
      </c>
      <c r="L8" s="40">
        <f>MAX($D$8*Assumptions!$C$40,$D$8*Assumptions!$C$10^LOG(MAX(1,SUM($D9:L9)),Assumptions!$C$41))</f>
        <v>0.63</v>
      </c>
      <c r="M8" s="40">
        <f>MAX($D$8*Assumptions!$C$40,$D$8*Assumptions!$C$10^LOG(MAX(1,SUM($D9:M9)),Assumptions!$C$41))</f>
        <v>0.63</v>
      </c>
    </row>
    <row r="9" spans="2:14" ht="15" customHeight="1" x14ac:dyDescent="0.25">
      <c r="B9" s="75" t="s">
        <v>472</v>
      </c>
      <c r="C9" s="42" t="s">
        <v>470</v>
      </c>
      <c r="D9" s="76">
        <v>0</v>
      </c>
      <c r="E9" s="76">
        <v>10</v>
      </c>
      <c r="F9" s="76">
        <v>40</v>
      </c>
      <c r="G9" s="76">
        <v>80</v>
      </c>
      <c r="H9" s="76">
        <v>130</v>
      </c>
      <c r="I9" s="76">
        <v>180</v>
      </c>
      <c r="J9" s="76">
        <v>220</v>
      </c>
      <c r="K9" s="76">
        <v>260</v>
      </c>
      <c r="L9" s="76">
        <v>290</v>
      </c>
      <c r="M9" s="76">
        <v>320</v>
      </c>
    </row>
    <row r="10" spans="2:14" ht="15" customHeight="1" x14ac:dyDescent="0.25">
      <c r="B10" s="77" t="s">
        <v>473</v>
      </c>
      <c r="D10" s="12">
        <f t="shared" ref="D10:M10" si="0">D7*D9</f>
        <v>0</v>
      </c>
      <c r="E10" s="12">
        <f t="shared" si="0"/>
        <v>13.060029027033533</v>
      </c>
      <c r="F10" s="12">
        <f t="shared" si="0"/>
        <v>50.19960159204453</v>
      </c>
      <c r="G10" s="12">
        <f t="shared" si="0"/>
        <v>100.39920318408906</v>
      </c>
      <c r="H10" s="12">
        <f t="shared" si="0"/>
        <v>163.14870517414474</v>
      </c>
      <c r="I10" s="12">
        <f t="shared" si="0"/>
        <v>225.89820716420041</v>
      </c>
      <c r="J10" s="12">
        <f t="shared" si="0"/>
        <v>276.09780875624494</v>
      </c>
      <c r="K10" s="12">
        <f t="shared" si="0"/>
        <v>326.29741034828947</v>
      </c>
      <c r="L10" s="12">
        <f t="shared" si="0"/>
        <v>363.94711154232289</v>
      </c>
      <c r="M10" s="12">
        <f t="shared" si="0"/>
        <v>401.59681273635624</v>
      </c>
    </row>
    <row r="11" spans="2:14" ht="15" customHeight="1" x14ac:dyDescent="0.25">
      <c r="B11" s="75" t="s">
        <v>474</v>
      </c>
      <c r="D11" s="14">
        <f t="shared" ref="D11:M11" si="1">D8*D9</f>
        <v>0</v>
      </c>
      <c r="E11" s="14">
        <f t="shared" si="1"/>
        <v>6.8225743274783373</v>
      </c>
      <c r="F11" s="14">
        <f t="shared" si="1"/>
        <v>25.2</v>
      </c>
      <c r="G11" s="14">
        <f t="shared" si="1"/>
        <v>50.4</v>
      </c>
      <c r="H11" s="14">
        <f t="shared" si="1"/>
        <v>81.900000000000006</v>
      </c>
      <c r="I11" s="14">
        <f t="shared" si="1"/>
        <v>113.4</v>
      </c>
      <c r="J11" s="14">
        <f t="shared" si="1"/>
        <v>138.6</v>
      </c>
      <c r="K11" s="14">
        <f t="shared" si="1"/>
        <v>163.80000000000001</v>
      </c>
      <c r="L11" s="14">
        <f t="shared" si="1"/>
        <v>182.7</v>
      </c>
      <c r="M11" s="14">
        <f t="shared" si="1"/>
        <v>201.6</v>
      </c>
    </row>
    <row r="12" spans="2:14" ht="15" customHeight="1" x14ac:dyDescent="0.25">
      <c r="B12" s="78" t="s">
        <v>475</v>
      </c>
      <c r="D12" s="13">
        <f t="shared" ref="D12:M12" si="2">IF(D7=0,0,1-D8/D7)</f>
        <v>0.4</v>
      </c>
      <c r="E12" s="13">
        <f t="shared" si="2"/>
        <v>0.47759883891865873</v>
      </c>
      <c r="F12" s="13">
        <f t="shared" si="2"/>
        <v>0.49800398407955471</v>
      </c>
      <c r="G12" s="13">
        <f t="shared" si="2"/>
        <v>0.49800398407955471</v>
      </c>
      <c r="H12" s="13">
        <f t="shared" si="2"/>
        <v>0.49800398407955471</v>
      </c>
      <c r="I12" s="13">
        <f t="shared" si="2"/>
        <v>0.49800398407955471</v>
      </c>
      <c r="J12" s="13">
        <f t="shared" si="2"/>
        <v>0.49800398407955471</v>
      </c>
      <c r="K12" s="13">
        <f t="shared" si="2"/>
        <v>0.49800398407955471</v>
      </c>
      <c r="L12" s="13">
        <f t="shared" si="2"/>
        <v>0.49800398407955471</v>
      </c>
      <c r="M12" s="13">
        <f t="shared" si="2"/>
        <v>0.49800398407955471</v>
      </c>
    </row>
    <row r="14" spans="2:14" ht="15" customHeight="1" x14ac:dyDescent="0.25">
      <c r="B14" s="125" t="s">
        <v>493</v>
      </c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</row>
    <row r="15" spans="2:14" ht="15" customHeight="1" x14ac:dyDescent="0.25">
      <c r="B15" s="75" t="s">
        <v>469</v>
      </c>
      <c r="C15" s="42" t="s">
        <v>470</v>
      </c>
      <c r="D15" s="40">
        <v>14.25</v>
      </c>
      <c r="E15" s="40">
        <f>$D$15*(E16/$D$16)^Assumptions!$C$39</f>
        <v>13.338819522505499</v>
      </c>
      <c r="F15" s="40">
        <f>$D$15*(F16/$D$16)^Assumptions!$C$39</f>
        <v>12.407027575681855</v>
      </c>
      <c r="G15" s="40">
        <f>$D$15*(G16/$D$16)^Assumptions!$C$39</f>
        <v>11.922405378110577</v>
      </c>
      <c r="H15" s="40">
        <f>$D$15*(H16/$D$16)^Assumptions!$C$39</f>
        <v>11.922405378110577</v>
      </c>
      <c r="I15" s="40">
        <f>$D$15*(I16/$D$16)^Assumptions!$C$39</f>
        <v>11.922405378110577</v>
      </c>
      <c r="J15" s="40">
        <f>$D$15*(J16/$D$16)^Assumptions!$C$39</f>
        <v>11.922405378110577</v>
      </c>
      <c r="K15" s="40">
        <f>$D$15*(K16/$D$16)^Assumptions!$C$39</f>
        <v>11.922405378110577</v>
      </c>
      <c r="L15" s="40">
        <f>$D$15*(L16/$D$16)^Assumptions!$C$39</f>
        <v>11.922405378110577</v>
      </c>
      <c r="M15" s="40">
        <f>$D$15*(M16/$D$16)^Assumptions!$C$39</f>
        <v>11.922405378110577</v>
      </c>
    </row>
    <row r="16" spans="2:14" ht="15" customHeight="1" x14ac:dyDescent="0.25">
      <c r="B16" s="75" t="s">
        <v>471</v>
      </c>
      <c r="C16" s="42" t="s">
        <v>470</v>
      </c>
      <c r="D16" s="40">
        <v>8</v>
      </c>
      <c r="E16" s="40">
        <f>MAX($D$16*Assumptions!$C$40,$D$16*Assumptions!$C$10^LOG(MAX(1,SUM($D17:E17)),Assumptions!$C$41))</f>
        <v>7.0096293014800404</v>
      </c>
      <c r="F16" s="40">
        <f>MAX($D$16*Assumptions!$C$40,$D$16*Assumptions!$C$10^LOG(MAX(1,SUM($D17:F17)),Assumptions!$C$41))</f>
        <v>6.0645105133140769</v>
      </c>
      <c r="G16" s="40">
        <f>MAX($D$16*Assumptions!$C$40,$D$16*Assumptions!$C$10^LOG(MAX(1,SUM($D17:G17)),Assumptions!$C$41))</f>
        <v>5.6</v>
      </c>
      <c r="H16" s="40">
        <f>MAX($D$16*Assumptions!$C$40,$D$16*Assumptions!$C$10^LOG(MAX(1,SUM($D17:H17)),Assumptions!$C$41))</f>
        <v>5.6</v>
      </c>
      <c r="I16" s="40">
        <f>MAX($D$16*Assumptions!$C$40,$D$16*Assumptions!$C$10^LOG(MAX(1,SUM($D17:I17)),Assumptions!$C$41))</f>
        <v>5.6</v>
      </c>
      <c r="J16" s="40">
        <f>MAX($D$16*Assumptions!$C$40,$D$16*Assumptions!$C$10^LOG(MAX(1,SUM($D17:J17)),Assumptions!$C$41))</f>
        <v>5.6</v>
      </c>
      <c r="K16" s="40">
        <f>MAX($D$16*Assumptions!$C$40,$D$16*Assumptions!$C$10^LOG(MAX(1,SUM($D17:K17)),Assumptions!$C$41))</f>
        <v>5.6</v>
      </c>
      <c r="L16" s="40">
        <f>MAX($D$16*Assumptions!$C$40,$D$16*Assumptions!$C$10^LOG(MAX(1,SUM($D17:L17)),Assumptions!$C$41))</f>
        <v>5.6</v>
      </c>
      <c r="M16" s="40">
        <f>MAX($D$16*Assumptions!$C$40,$D$16*Assumptions!$C$10^LOG(MAX(1,SUM($D17:M17)),Assumptions!$C$41))</f>
        <v>5.6</v>
      </c>
    </row>
    <row r="17" spans="2:14" ht="15" customHeight="1" x14ac:dyDescent="0.25">
      <c r="B17" s="75" t="s">
        <v>472</v>
      </c>
      <c r="C17" s="42" t="s">
        <v>470</v>
      </c>
      <c r="D17" s="76">
        <v>0</v>
      </c>
      <c r="E17" s="76">
        <v>3</v>
      </c>
      <c r="F17" s="76">
        <v>7</v>
      </c>
      <c r="G17" s="76">
        <v>14</v>
      </c>
      <c r="H17" s="76">
        <v>22</v>
      </c>
      <c r="I17" s="76">
        <v>30</v>
      </c>
      <c r="J17" s="76">
        <v>38</v>
      </c>
      <c r="K17" s="76">
        <v>46</v>
      </c>
      <c r="L17" s="76">
        <v>52</v>
      </c>
      <c r="M17" s="76">
        <v>56</v>
      </c>
    </row>
    <row r="18" spans="2:14" ht="15" customHeight="1" x14ac:dyDescent="0.25">
      <c r="B18" s="77" t="s">
        <v>473</v>
      </c>
      <c r="D18" s="12">
        <f t="shared" ref="D18:M18" si="3">D15*D17</f>
        <v>0</v>
      </c>
      <c r="E18" s="12">
        <f t="shared" si="3"/>
        <v>40.016458567516494</v>
      </c>
      <c r="F18" s="12">
        <f t="shared" si="3"/>
        <v>86.849193029772991</v>
      </c>
      <c r="G18" s="12">
        <f t="shared" si="3"/>
        <v>166.91367529354807</v>
      </c>
      <c r="H18" s="12">
        <f t="shared" si="3"/>
        <v>262.29291831843267</v>
      </c>
      <c r="I18" s="12">
        <f t="shared" si="3"/>
        <v>357.67216134331733</v>
      </c>
      <c r="J18" s="12">
        <f t="shared" si="3"/>
        <v>453.05140436820193</v>
      </c>
      <c r="K18" s="12">
        <f t="shared" si="3"/>
        <v>548.43064739308659</v>
      </c>
      <c r="L18" s="12">
        <f t="shared" si="3"/>
        <v>619.96507966175</v>
      </c>
      <c r="M18" s="12">
        <f t="shared" si="3"/>
        <v>667.65470117419227</v>
      </c>
    </row>
    <row r="19" spans="2:14" ht="15" customHeight="1" x14ac:dyDescent="0.25">
      <c r="B19" s="75" t="s">
        <v>474</v>
      </c>
      <c r="D19" s="14">
        <f t="shared" ref="D19:M19" si="4">D16*D17</f>
        <v>0</v>
      </c>
      <c r="E19" s="14">
        <f t="shared" si="4"/>
        <v>21.028887904440122</v>
      </c>
      <c r="F19" s="14">
        <f t="shared" si="4"/>
        <v>42.451573593198539</v>
      </c>
      <c r="G19" s="14">
        <f t="shared" si="4"/>
        <v>78.399999999999991</v>
      </c>
      <c r="H19" s="14">
        <f t="shared" si="4"/>
        <v>123.19999999999999</v>
      </c>
      <c r="I19" s="14">
        <f t="shared" si="4"/>
        <v>168</v>
      </c>
      <c r="J19" s="14">
        <f t="shared" si="4"/>
        <v>212.79999999999998</v>
      </c>
      <c r="K19" s="14">
        <f t="shared" si="4"/>
        <v>257.59999999999997</v>
      </c>
      <c r="L19" s="14">
        <f t="shared" si="4"/>
        <v>291.2</v>
      </c>
      <c r="M19" s="14">
        <f t="shared" si="4"/>
        <v>313.59999999999997</v>
      </c>
    </row>
    <row r="20" spans="2:14" ht="15" customHeight="1" x14ac:dyDescent="0.25">
      <c r="B20" s="78" t="s">
        <v>475</v>
      </c>
      <c r="D20" s="13">
        <f t="shared" ref="D20:M20" si="5">IF(D15=0,0,1-D16/D15)</f>
        <v>0.43859649122807021</v>
      </c>
      <c r="E20" s="13">
        <f t="shared" si="5"/>
        <v>0.47449402927648388</v>
      </c>
      <c r="F20" s="13">
        <f t="shared" si="5"/>
        <v>0.51120359197067489</v>
      </c>
      <c r="G20" s="13">
        <f t="shared" si="5"/>
        <v>0.53029612545455418</v>
      </c>
      <c r="H20" s="13">
        <f t="shared" si="5"/>
        <v>0.53029612545455418</v>
      </c>
      <c r="I20" s="13">
        <f t="shared" si="5"/>
        <v>0.53029612545455418</v>
      </c>
      <c r="J20" s="13">
        <f t="shared" si="5"/>
        <v>0.53029612545455418</v>
      </c>
      <c r="K20" s="13">
        <f t="shared" si="5"/>
        <v>0.53029612545455418</v>
      </c>
      <c r="L20" s="13">
        <f t="shared" si="5"/>
        <v>0.53029612545455418</v>
      </c>
      <c r="M20" s="13">
        <f t="shared" si="5"/>
        <v>0.53029612545455418</v>
      </c>
    </row>
    <row r="22" spans="2:14" ht="15" customHeight="1" x14ac:dyDescent="0.25">
      <c r="B22" s="125" t="s">
        <v>494</v>
      </c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</row>
    <row r="23" spans="2:14" ht="15" customHeight="1" x14ac:dyDescent="0.25">
      <c r="B23" s="75" t="s">
        <v>469</v>
      </c>
      <c r="C23" s="42" t="s">
        <v>470</v>
      </c>
      <c r="D23" s="40">
        <v>65</v>
      </c>
      <c r="E23" s="40">
        <f>$D$23*(E24/$D$24)^Assumptions!$C$39</f>
        <v>65</v>
      </c>
      <c r="F23" s="40">
        <f>$D$23*(F24/$D$24)^Assumptions!$C$39</f>
        <v>65</v>
      </c>
      <c r="G23" s="40">
        <f>$D$23*(G24/$D$24)^Assumptions!$C$39</f>
        <v>60.843738172832104</v>
      </c>
      <c r="H23" s="40">
        <f>$D$23*(H24/$D$24)^Assumptions!$C$39</f>
        <v>58.35926350509073</v>
      </c>
      <c r="I23" s="40">
        <f>$D$23*(I24/$D$24)^Assumptions!$C$39</f>
        <v>56.593459117145308</v>
      </c>
      <c r="J23" s="40">
        <f>$D$23*(J24/$D$24)^Assumptions!$C$39</f>
        <v>55.229976476288662</v>
      </c>
      <c r="K23" s="40">
        <f>$D$23*(K24/$D$24)^Assumptions!$C$39</f>
        <v>54.382901724714912</v>
      </c>
      <c r="L23" s="40">
        <f>$D$23*(L24/$D$24)^Assumptions!$C$39</f>
        <v>54.382901724714912</v>
      </c>
      <c r="M23" s="40">
        <f>$D$23*(M24/$D$24)^Assumptions!$C$39</f>
        <v>54.382901724714912</v>
      </c>
    </row>
    <row r="24" spans="2:14" ht="15" customHeight="1" x14ac:dyDescent="0.25">
      <c r="B24" s="75" t="s">
        <v>471</v>
      </c>
      <c r="C24" s="42" t="s">
        <v>470</v>
      </c>
      <c r="D24" s="40">
        <v>27.074999999999999</v>
      </c>
      <c r="E24" s="40">
        <f>MAX($D$24*Assumptions!$C$40,$D$24*Assumptions!$C$10^LOG(MAX(1,SUM($D25:E25)),Assumptions!$C$41))</f>
        <v>27.074999999999999</v>
      </c>
      <c r="F24" s="40">
        <f>MAX($D$24*Assumptions!$C$40,$D$24*Assumptions!$C$10^LOG(MAX(1,SUM($D25:F25)),Assumptions!$C$41))</f>
        <v>27.074999999999999</v>
      </c>
      <c r="G24" s="40">
        <f>MAX($D$24*Assumptions!$C$40,$D$24*Assumptions!$C$10^LOG(MAX(1,SUM($D25:G25)),Assumptions!$C$41))</f>
        <v>23.72321416719651</v>
      </c>
      <c r="H24" s="40">
        <f>MAX($D$24*Assumptions!$C$40,$D$24*Assumptions!$C$10^LOG(MAX(1,SUM($D25:H25)),Assumptions!$C$41))</f>
        <v>21.82535703382079</v>
      </c>
      <c r="I24" s="40">
        <f>MAX($D$24*Assumptions!$C$40,$D$24*Assumptions!$C$10^LOG(MAX(1,SUM($D25:I25)),Assumptions!$C$41))</f>
        <v>20.524577768497327</v>
      </c>
      <c r="J24" s="40">
        <f>MAX($D$24*Assumptions!$C$40,$D$24*Assumptions!$C$10^LOG(MAX(1,SUM($D25:J25)),Assumptions!$C$41))</f>
        <v>19.547511104152811</v>
      </c>
      <c r="K24" s="40">
        <f>MAX($D$24*Assumptions!$C$40,$D$24*Assumptions!$C$10^LOG(MAX(1,SUM($D25:K25)),Assumptions!$C$41))</f>
        <v>18.952499999999997</v>
      </c>
      <c r="L24" s="40">
        <f>MAX($D$24*Assumptions!$C$40,$D$24*Assumptions!$C$10^LOG(MAX(1,SUM($D25:L25)),Assumptions!$C$41))</f>
        <v>18.952499999999997</v>
      </c>
      <c r="M24" s="40">
        <f>MAX($D$24*Assumptions!$C$40,$D$24*Assumptions!$C$10^LOG(MAX(1,SUM($D25:M25)),Assumptions!$C$41))</f>
        <v>18.952499999999997</v>
      </c>
    </row>
    <row r="25" spans="2:14" ht="15" customHeight="1" x14ac:dyDescent="0.25">
      <c r="B25" s="75" t="s">
        <v>472</v>
      </c>
      <c r="C25" s="42" t="s">
        <v>470</v>
      </c>
      <c r="D25" s="76">
        <v>0</v>
      </c>
      <c r="E25" s="76">
        <v>0</v>
      </c>
      <c r="F25" s="76">
        <v>1</v>
      </c>
      <c r="G25" s="76">
        <v>2</v>
      </c>
      <c r="H25" s="76">
        <v>3</v>
      </c>
      <c r="I25" s="76">
        <v>4</v>
      </c>
      <c r="J25" s="76">
        <v>5</v>
      </c>
      <c r="K25" s="76">
        <v>6</v>
      </c>
      <c r="L25" s="76">
        <v>6</v>
      </c>
      <c r="M25" s="76">
        <v>7</v>
      </c>
    </row>
    <row r="26" spans="2:14" ht="15" customHeight="1" x14ac:dyDescent="0.25">
      <c r="B26" s="77" t="s">
        <v>473</v>
      </c>
      <c r="D26" s="12">
        <f t="shared" ref="D26:M26" si="6">D23*D25</f>
        <v>0</v>
      </c>
      <c r="E26" s="12">
        <f t="shared" si="6"/>
        <v>0</v>
      </c>
      <c r="F26" s="12">
        <f t="shared" si="6"/>
        <v>65</v>
      </c>
      <c r="G26" s="12">
        <f t="shared" si="6"/>
        <v>121.68747634566421</v>
      </c>
      <c r="H26" s="12">
        <f t="shared" si="6"/>
        <v>175.0777905152722</v>
      </c>
      <c r="I26" s="12">
        <f t="shared" si="6"/>
        <v>226.37383646858123</v>
      </c>
      <c r="J26" s="12">
        <f t="shared" si="6"/>
        <v>276.14988238144332</v>
      </c>
      <c r="K26" s="12">
        <f t="shared" si="6"/>
        <v>326.29741034828947</v>
      </c>
      <c r="L26" s="12">
        <f t="shared" si="6"/>
        <v>326.29741034828947</v>
      </c>
      <c r="M26" s="12">
        <f t="shared" si="6"/>
        <v>380.68031207300442</v>
      </c>
    </row>
    <row r="27" spans="2:14" ht="15" customHeight="1" x14ac:dyDescent="0.25">
      <c r="B27" s="75" t="s">
        <v>474</v>
      </c>
      <c r="D27" s="14">
        <f t="shared" ref="D27:M27" si="7">D24*D25</f>
        <v>0</v>
      </c>
      <c r="E27" s="14">
        <f t="shared" si="7"/>
        <v>0</v>
      </c>
      <c r="F27" s="14">
        <f t="shared" si="7"/>
        <v>27.074999999999999</v>
      </c>
      <c r="G27" s="14">
        <f t="shared" si="7"/>
        <v>47.446428334393019</v>
      </c>
      <c r="H27" s="14">
        <f t="shared" si="7"/>
        <v>65.476071101462367</v>
      </c>
      <c r="I27" s="14">
        <f t="shared" si="7"/>
        <v>82.098311073989308</v>
      </c>
      <c r="J27" s="14">
        <f t="shared" si="7"/>
        <v>97.737555520764062</v>
      </c>
      <c r="K27" s="14">
        <f t="shared" si="7"/>
        <v>113.71499999999997</v>
      </c>
      <c r="L27" s="14">
        <f t="shared" si="7"/>
        <v>113.71499999999997</v>
      </c>
      <c r="M27" s="14">
        <f t="shared" si="7"/>
        <v>132.66749999999999</v>
      </c>
    </row>
    <row r="28" spans="2:14" ht="15" customHeight="1" x14ac:dyDescent="0.25">
      <c r="B28" s="78" t="s">
        <v>475</v>
      </c>
      <c r="D28" s="13">
        <f t="shared" ref="D28:M28" si="8">IF(D23=0,0,1-D24/D23)</f>
        <v>0.58346153846153848</v>
      </c>
      <c r="E28" s="13">
        <f t="shared" si="8"/>
        <v>0.58346153846153848</v>
      </c>
      <c r="F28" s="13">
        <f t="shared" si="8"/>
        <v>0.58346153846153848</v>
      </c>
      <c r="G28" s="13">
        <f t="shared" si="8"/>
        <v>0.61009604472676238</v>
      </c>
      <c r="H28" s="13">
        <f t="shared" si="8"/>
        <v>0.62601726404725877</v>
      </c>
      <c r="I28" s="13">
        <f t="shared" si="8"/>
        <v>0.63733304009545355</v>
      </c>
      <c r="J28" s="13">
        <f t="shared" si="8"/>
        <v>0.64607062411940464</v>
      </c>
      <c r="K28" s="13">
        <f t="shared" si="8"/>
        <v>0.65149891971676777</v>
      </c>
      <c r="L28" s="13">
        <f t="shared" si="8"/>
        <v>0.65149891971676777</v>
      </c>
      <c r="M28" s="13">
        <f t="shared" si="8"/>
        <v>0.65149891971676777</v>
      </c>
    </row>
    <row r="30" spans="2:14" ht="21.75" customHeight="1" x14ac:dyDescent="0.25">
      <c r="B30" s="110" t="s">
        <v>495</v>
      </c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</row>
    <row r="31" spans="2:14" ht="15" customHeight="1" x14ac:dyDescent="0.25">
      <c r="B31" s="41" t="s">
        <v>64</v>
      </c>
      <c r="D31" s="43">
        <f t="shared" ref="D31:M31" si="9">D10+D18+D26</f>
        <v>0</v>
      </c>
      <c r="E31" s="43">
        <f t="shared" si="9"/>
        <v>53.076487594550031</v>
      </c>
      <c r="F31" s="43">
        <f t="shared" si="9"/>
        <v>202.04879462181754</v>
      </c>
      <c r="G31" s="43">
        <f t="shared" si="9"/>
        <v>389.00035482330134</v>
      </c>
      <c r="H31" s="43">
        <f t="shared" si="9"/>
        <v>600.5194140078496</v>
      </c>
      <c r="I31" s="43">
        <f t="shared" si="9"/>
        <v>809.94420497609894</v>
      </c>
      <c r="J31" s="43">
        <f t="shared" si="9"/>
        <v>1005.2990955058901</v>
      </c>
      <c r="K31" s="43">
        <f t="shared" si="9"/>
        <v>1201.0254680896655</v>
      </c>
      <c r="L31" s="43">
        <f t="shared" si="9"/>
        <v>1310.2096015523623</v>
      </c>
      <c r="M31" s="43">
        <f t="shared" si="9"/>
        <v>1449.9318259835529</v>
      </c>
    </row>
    <row r="32" spans="2:14" ht="15" customHeight="1" x14ac:dyDescent="0.25">
      <c r="B32" s="41" t="s">
        <v>479</v>
      </c>
      <c r="D32" s="43">
        <f t="shared" ref="D32:M32" si="10">D11+D19+D27</f>
        <v>0</v>
      </c>
      <c r="E32" s="43">
        <f t="shared" si="10"/>
        <v>27.851462231918461</v>
      </c>
      <c r="F32" s="43">
        <f t="shared" si="10"/>
        <v>94.726573593198538</v>
      </c>
      <c r="G32" s="43">
        <f t="shared" si="10"/>
        <v>176.24642833439299</v>
      </c>
      <c r="H32" s="43">
        <f t="shared" si="10"/>
        <v>270.57607110146239</v>
      </c>
      <c r="I32" s="43">
        <f t="shared" si="10"/>
        <v>363.49831107398927</v>
      </c>
      <c r="J32" s="43">
        <f t="shared" si="10"/>
        <v>449.13755552076407</v>
      </c>
      <c r="K32" s="43">
        <f t="shared" si="10"/>
        <v>535.11500000000001</v>
      </c>
      <c r="L32" s="43">
        <f t="shared" si="10"/>
        <v>587.61500000000001</v>
      </c>
      <c r="M32" s="43">
        <f t="shared" si="10"/>
        <v>647.86749999999995</v>
      </c>
    </row>
    <row r="33" spans="2:13" ht="15" customHeight="1" x14ac:dyDescent="0.25">
      <c r="B33" s="41" t="s">
        <v>480</v>
      </c>
      <c r="D33" s="79">
        <f t="shared" ref="D33:M33" si="11">D9+D17+D25</f>
        <v>0</v>
      </c>
      <c r="E33" s="79">
        <f t="shared" si="11"/>
        <v>13</v>
      </c>
      <c r="F33" s="79">
        <f t="shared" si="11"/>
        <v>48</v>
      </c>
      <c r="G33" s="79">
        <f t="shared" si="11"/>
        <v>96</v>
      </c>
      <c r="H33" s="79">
        <f t="shared" si="11"/>
        <v>155</v>
      </c>
      <c r="I33" s="79">
        <f t="shared" si="11"/>
        <v>214</v>
      </c>
      <c r="J33" s="79">
        <f t="shared" si="11"/>
        <v>263</v>
      </c>
      <c r="K33" s="79">
        <f t="shared" si="11"/>
        <v>312</v>
      </c>
      <c r="L33" s="79">
        <f t="shared" si="11"/>
        <v>348</v>
      </c>
      <c r="M33" s="79">
        <f t="shared" si="11"/>
        <v>383</v>
      </c>
    </row>
    <row r="34" spans="2:13" ht="15" customHeight="1" x14ac:dyDescent="0.25">
      <c r="B34" s="41" t="s">
        <v>481</v>
      </c>
      <c r="D34" s="43">
        <f t="shared" ref="D34:M34" si="12">D31-D32</f>
        <v>0</v>
      </c>
      <c r="E34" s="43">
        <f t="shared" si="12"/>
        <v>25.22502536263157</v>
      </c>
      <c r="F34" s="43">
        <f t="shared" si="12"/>
        <v>107.322221028619</v>
      </c>
      <c r="G34" s="43">
        <f t="shared" si="12"/>
        <v>212.75392648890835</v>
      </c>
      <c r="H34" s="43">
        <f t="shared" si="12"/>
        <v>329.94334290638722</v>
      </c>
      <c r="I34" s="43">
        <f t="shared" si="12"/>
        <v>446.44589390210967</v>
      </c>
      <c r="J34" s="43">
        <f t="shared" si="12"/>
        <v>556.16153998512607</v>
      </c>
      <c r="K34" s="43">
        <f t="shared" si="12"/>
        <v>665.91046808966553</v>
      </c>
      <c r="L34" s="43">
        <f t="shared" si="12"/>
        <v>722.59460155236229</v>
      </c>
      <c r="M34" s="43">
        <f t="shared" si="12"/>
        <v>802.06432598355298</v>
      </c>
    </row>
    <row r="35" spans="2:13" ht="15" customHeight="1" x14ac:dyDescent="0.25">
      <c r="B35" s="41" t="s">
        <v>67</v>
      </c>
      <c r="D35" s="80">
        <f t="shared" ref="D35:M35" si="13">IFERROR((D31-D32)/D31,0)</f>
        <v>0</v>
      </c>
      <c r="E35" s="80">
        <f t="shared" si="13"/>
        <v>0.47525800040358568</v>
      </c>
      <c r="F35" s="80">
        <f t="shared" si="13"/>
        <v>0.53116981583333922</v>
      </c>
      <c r="G35" s="80">
        <f t="shared" si="13"/>
        <v>0.54692476202380125</v>
      </c>
      <c r="H35" s="80">
        <f t="shared" si="13"/>
        <v>0.54942993550259211</v>
      </c>
      <c r="I35" s="80">
        <f t="shared" si="13"/>
        <v>0.55120573881417434</v>
      </c>
      <c r="J35" s="80">
        <f t="shared" si="13"/>
        <v>0.5532299217928297</v>
      </c>
      <c r="K35" s="80">
        <f t="shared" si="13"/>
        <v>0.55445157973948167</v>
      </c>
      <c r="L35" s="80">
        <f t="shared" si="13"/>
        <v>0.55151069011875498</v>
      </c>
      <c r="M35" s="80">
        <f t="shared" si="13"/>
        <v>0.55317381935490462</v>
      </c>
    </row>
    <row r="36" spans="2:13" ht="15" customHeight="1" x14ac:dyDescent="0.25">
      <c r="B36" s="42" t="s">
        <v>482</v>
      </c>
      <c r="D36" s="14">
        <f>D31</f>
        <v>0</v>
      </c>
      <c r="E36" s="14">
        <f t="shared" ref="E36:M36" si="14">D36+E31</f>
        <v>53.076487594550031</v>
      </c>
      <c r="F36" s="14">
        <f t="shared" si="14"/>
        <v>255.12528221636757</v>
      </c>
      <c r="G36" s="14">
        <f t="shared" si="14"/>
        <v>644.12563703966885</v>
      </c>
      <c r="H36" s="14">
        <f t="shared" si="14"/>
        <v>1244.6450510475183</v>
      </c>
      <c r="I36" s="14">
        <f t="shared" si="14"/>
        <v>2054.5892560236171</v>
      </c>
      <c r="J36" s="14">
        <f t="shared" si="14"/>
        <v>3059.8883515295074</v>
      </c>
      <c r="K36" s="14">
        <f t="shared" si="14"/>
        <v>4260.9138196191725</v>
      </c>
      <c r="L36" s="14">
        <f t="shared" si="14"/>
        <v>5571.1234211715346</v>
      </c>
      <c r="M36" s="14">
        <f t="shared" si="14"/>
        <v>7021.0552471550873</v>
      </c>
    </row>
  </sheetData>
  <mergeCells count="7">
    <mergeCell ref="B22:M22"/>
    <mergeCell ref="B30:N30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8A303"/>
    <pageSetUpPr fitToPage="1"/>
  </sheetPr>
  <dimension ref="B1:N36"/>
  <sheetViews>
    <sheetView showGridLines="0" zoomScaleNormal="100" workbookViewId="0">
      <pane xSplit="3" ySplit="4" topLeftCell="D11" activePane="bottomRight" state="frozen"/>
      <selection pane="topRight" activeCell="D1" sqref="D1"/>
      <selection pane="bottomLeft" activeCell="A11" sqref="A11"/>
      <selection pane="bottomRight" activeCell="G39" sqref="G39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24" t="s">
        <v>463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</row>
    <row r="2" spans="2:14" ht="24" customHeight="1" x14ac:dyDescent="0.25">
      <c r="B2" s="108" t="s">
        <v>496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2:14" ht="31.5" customHeight="1" x14ac:dyDescent="0.25">
      <c r="B3" s="2" t="s">
        <v>465</v>
      </c>
      <c r="C3" s="111" t="s">
        <v>497</v>
      </c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5" spans="2:14" ht="15" customHeight="1" x14ac:dyDescent="0.25">
      <c r="B5" s="9" t="s">
        <v>467</v>
      </c>
      <c r="C5" s="9" t="s">
        <v>312</v>
      </c>
      <c r="D5" s="10" t="s">
        <v>30</v>
      </c>
      <c r="E5" s="10" t="s">
        <v>25</v>
      </c>
      <c r="F5" s="10" t="s">
        <v>44</v>
      </c>
      <c r="G5" s="10" t="s">
        <v>39</v>
      </c>
      <c r="H5" s="10" t="s">
        <v>58</v>
      </c>
      <c r="I5" s="10" t="s">
        <v>59</v>
      </c>
      <c r="J5" s="10" t="s">
        <v>60</v>
      </c>
      <c r="K5" s="10" t="s">
        <v>61</v>
      </c>
      <c r="L5" s="10" t="s">
        <v>62</v>
      </c>
      <c r="M5" s="10" t="s">
        <v>63</v>
      </c>
    </row>
    <row r="6" spans="2:14" ht="15" customHeight="1" x14ac:dyDescent="0.25">
      <c r="B6" s="123" t="s">
        <v>498</v>
      </c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</row>
    <row r="7" spans="2:14" ht="15" customHeight="1" x14ac:dyDescent="0.25">
      <c r="B7" s="75" t="s">
        <v>469</v>
      </c>
      <c r="C7" s="42" t="s">
        <v>470</v>
      </c>
      <c r="D7" s="40">
        <v>150</v>
      </c>
      <c r="E7" s="40">
        <f>$D$7*(E8/$D$8)^Assumptions!$C$39</f>
        <v>150</v>
      </c>
      <c r="F7" s="40">
        <f>$D$7*(F8/$D$8)^Assumptions!$C$39</f>
        <v>150</v>
      </c>
      <c r="G7" s="40">
        <f>$D$7*(G8/$D$8)^Assumptions!$C$39</f>
        <v>150</v>
      </c>
      <c r="H7" s="40">
        <f>$D$7*(H8/$D$8)^Assumptions!$C$39</f>
        <v>140.40862655268947</v>
      </c>
      <c r="I7" s="40">
        <f>$D$7*(I8/$D$8)^Assumptions!$C$39</f>
        <v>134.67522347328631</v>
      </c>
      <c r="J7" s="40">
        <f>$D$7*(J8/$D$8)^Assumptions!$C$39</f>
        <v>130.60029027033534</v>
      </c>
      <c r="K7" s="40">
        <f>$D$7*(K8/$D$8)^Assumptions!$C$39</f>
        <v>127.45379186835845</v>
      </c>
      <c r="L7" s="40">
        <f>$D$7*(L8/$D$8)^Assumptions!$C$39</f>
        <v>125.49900398011134</v>
      </c>
      <c r="M7" s="40">
        <f>$D$7*(M8/$D$8)^Assumptions!$C$39</f>
        <v>125.49900398011134</v>
      </c>
    </row>
    <row r="8" spans="2:14" ht="15" customHeight="1" x14ac:dyDescent="0.25">
      <c r="B8" s="75" t="s">
        <v>471</v>
      </c>
      <c r="C8" s="42" t="s">
        <v>470</v>
      </c>
      <c r="D8" s="40">
        <v>51.3</v>
      </c>
      <c r="E8" s="40">
        <f>MAX($D$8*Assumptions!$C$40,$D$8*Assumptions!$C$10^LOG(MAX(1,SUM($D9:E9)),Assumptions!$C$41))</f>
        <v>51.3</v>
      </c>
      <c r="F8" s="40">
        <f>MAX($D$8*Assumptions!$C$40,$D$8*Assumptions!$C$10^LOG(MAX(1,SUM($D9:F9)),Assumptions!$C$41))</f>
        <v>51.3</v>
      </c>
      <c r="G8" s="40">
        <f>MAX($D$8*Assumptions!$C$40,$D$8*Assumptions!$C$10^LOG(MAX(1,SUM($D9:G9)),Assumptions!$C$41))</f>
        <v>51.3</v>
      </c>
      <c r="H8" s="40">
        <f>MAX($D$8*Assumptions!$C$40,$D$8*Assumptions!$C$10^LOG(MAX(1,SUM($D9:H9)),Assumptions!$C$41))</f>
        <v>44.949247895740754</v>
      </c>
      <c r="I8" s="40">
        <f>MAX($D$8*Assumptions!$C$40,$D$8*Assumptions!$C$10^LOG(MAX(1,SUM($D9:I9)),Assumptions!$C$41))</f>
        <v>41.353308064081496</v>
      </c>
      <c r="J8" s="40">
        <f>MAX($D$8*Assumptions!$C$40,$D$8*Assumptions!$C$10^LOG(MAX(1,SUM($D9:J9)),Assumptions!$C$41))</f>
        <v>38.888673666626516</v>
      </c>
      <c r="K8" s="40">
        <f>MAX($D$8*Assumptions!$C$40,$D$8*Assumptions!$C$10^LOG(MAX(1,SUM($D9:K9)),Assumptions!$C$41))</f>
        <v>37.037389460500066</v>
      </c>
      <c r="L8" s="40">
        <f>MAX($D$8*Assumptions!$C$40,$D$8*Assumptions!$C$10^LOG(MAX(1,SUM($D9:L9)),Assumptions!$C$41))</f>
        <v>35.909999999999997</v>
      </c>
      <c r="M8" s="40">
        <f>MAX($D$8*Assumptions!$C$40,$D$8*Assumptions!$C$10^LOG(MAX(1,SUM($D9:M9)),Assumptions!$C$41))</f>
        <v>35.909999999999997</v>
      </c>
    </row>
    <row r="9" spans="2:14" ht="15" customHeight="1" x14ac:dyDescent="0.25">
      <c r="B9" s="75" t="s">
        <v>472</v>
      </c>
      <c r="C9" s="42" t="s">
        <v>470</v>
      </c>
      <c r="D9" s="76">
        <v>0</v>
      </c>
      <c r="E9" s="76">
        <v>0</v>
      </c>
      <c r="F9" s="76">
        <v>0</v>
      </c>
      <c r="G9" s="76">
        <v>1</v>
      </c>
      <c r="H9" s="76">
        <v>2</v>
      </c>
      <c r="I9" s="76">
        <v>3</v>
      </c>
      <c r="J9" s="76">
        <v>4</v>
      </c>
      <c r="K9" s="76">
        <v>5</v>
      </c>
      <c r="L9" s="76">
        <v>6</v>
      </c>
      <c r="M9" s="76">
        <v>7</v>
      </c>
    </row>
    <row r="10" spans="2:14" ht="15" customHeight="1" x14ac:dyDescent="0.25">
      <c r="B10" s="77" t="s">
        <v>473</v>
      </c>
      <c r="D10" s="12">
        <f t="shared" ref="D10:M10" si="0">D7*D9</f>
        <v>0</v>
      </c>
      <c r="E10" s="12">
        <f t="shared" si="0"/>
        <v>0</v>
      </c>
      <c r="F10" s="12">
        <f t="shared" si="0"/>
        <v>0</v>
      </c>
      <c r="G10" s="12">
        <f t="shared" si="0"/>
        <v>150</v>
      </c>
      <c r="H10" s="12">
        <f t="shared" si="0"/>
        <v>280.81725310537894</v>
      </c>
      <c r="I10" s="12">
        <f t="shared" si="0"/>
        <v>404.0256704198589</v>
      </c>
      <c r="J10" s="12">
        <f t="shared" si="0"/>
        <v>522.40116108134134</v>
      </c>
      <c r="K10" s="12">
        <f t="shared" si="0"/>
        <v>637.2689593417922</v>
      </c>
      <c r="L10" s="12">
        <f t="shared" si="0"/>
        <v>752.99402388066801</v>
      </c>
      <c r="M10" s="12">
        <f t="shared" si="0"/>
        <v>878.49302786077942</v>
      </c>
    </row>
    <row r="11" spans="2:14" ht="15" customHeight="1" x14ac:dyDescent="0.25">
      <c r="B11" s="75" t="s">
        <v>474</v>
      </c>
      <c r="D11" s="14">
        <f t="shared" ref="D11:M11" si="1">D8*D9</f>
        <v>0</v>
      </c>
      <c r="E11" s="14">
        <f t="shared" si="1"/>
        <v>0</v>
      </c>
      <c r="F11" s="14">
        <f t="shared" si="1"/>
        <v>0</v>
      </c>
      <c r="G11" s="14">
        <f t="shared" si="1"/>
        <v>51.3</v>
      </c>
      <c r="H11" s="14">
        <f t="shared" si="1"/>
        <v>89.898495791481508</v>
      </c>
      <c r="I11" s="14">
        <f t="shared" si="1"/>
        <v>124.05992419224449</v>
      </c>
      <c r="J11" s="14">
        <f t="shared" si="1"/>
        <v>155.55469466650607</v>
      </c>
      <c r="K11" s="14">
        <f t="shared" si="1"/>
        <v>185.18694730250033</v>
      </c>
      <c r="L11" s="14">
        <f t="shared" si="1"/>
        <v>215.45999999999998</v>
      </c>
      <c r="M11" s="14">
        <f t="shared" si="1"/>
        <v>251.36999999999998</v>
      </c>
    </row>
    <row r="12" spans="2:14" ht="15" customHeight="1" x14ac:dyDescent="0.25">
      <c r="B12" s="78" t="s">
        <v>475</v>
      </c>
      <c r="D12" s="13">
        <f t="shared" ref="D12:M12" si="2">IF(D7=0,0,1-D8/D7)</f>
        <v>0.65800000000000003</v>
      </c>
      <c r="E12" s="13">
        <f t="shared" si="2"/>
        <v>0.65800000000000003</v>
      </c>
      <c r="F12" s="13">
        <f t="shared" si="2"/>
        <v>0.65800000000000003</v>
      </c>
      <c r="G12" s="13">
        <f t="shared" si="2"/>
        <v>0.65800000000000003</v>
      </c>
      <c r="H12" s="13">
        <f t="shared" si="2"/>
        <v>0.67986833145986814</v>
      </c>
      <c r="I12" s="13">
        <f t="shared" si="2"/>
        <v>0.69294049048090733</v>
      </c>
      <c r="J12" s="13">
        <f t="shared" si="2"/>
        <v>0.70223133818363559</v>
      </c>
      <c r="K12" s="13">
        <f t="shared" si="2"/>
        <v>0.70940535454014264</v>
      </c>
      <c r="L12" s="13">
        <f t="shared" si="2"/>
        <v>0.71386227092534615</v>
      </c>
      <c r="M12" s="13">
        <f t="shared" si="2"/>
        <v>0.71386227092534615</v>
      </c>
    </row>
    <row r="14" spans="2:14" ht="15" customHeight="1" x14ac:dyDescent="0.25">
      <c r="B14" s="123" t="s">
        <v>499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</row>
    <row r="15" spans="2:14" ht="15" customHeight="1" x14ac:dyDescent="0.25">
      <c r="B15" s="75" t="s">
        <v>469</v>
      </c>
      <c r="C15" s="42" t="s">
        <v>470</v>
      </c>
      <c r="D15" s="40">
        <v>210</v>
      </c>
      <c r="E15" s="40">
        <f>$D$15*(E16/$D$16)^Assumptions!$C$39</f>
        <v>210</v>
      </c>
      <c r="F15" s="40">
        <f>$D$15*(F16/$D$16)^Assumptions!$C$39</f>
        <v>210</v>
      </c>
      <c r="G15" s="40">
        <f>$D$15*(G16/$D$16)^Assumptions!$C$39</f>
        <v>210</v>
      </c>
      <c r="H15" s="40">
        <f>$D$15*(H16/$D$16)^Assumptions!$C$39</f>
        <v>210</v>
      </c>
      <c r="I15" s="40">
        <f>$D$15*(I16/$D$16)^Assumptions!$C$39</f>
        <v>201.42492397913423</v>
      </c>
      <c r="J15" s="40">
        <f>$D$15*(J16/$D$16)^Assumptions!$C$39</f>
        <v>193.20000000000002</v>
      </c>
      <c r="K15" s="40">
        <f>$D$15*(K16/$D$16)^Assumptions!$C$39</f>
        <v>188.54531286260081</v>
      </c>
      <c r="L15" s="40">
        <f>$D$15*(L16/$D$16)^Assumptions!$C$39</f>
        <v>184.00276916385107</v>
      </c>
      <c r="M15" s="40">
        <f>$D$15*(M16/$D$16)^Assumptions!$C$39</f>
        <v>180.84631099986404</v>
      </c>
    </row>
    <row r="16" spans="2:14" ht="15" customHeight="1" x14ac:dyDescent="0.25">
      <c r="B16" s="75" t="s">
        <v>471</v>
      </c>
      <c r="C16" s="42" t="s">
        <v>470</v>
      </c>
      <c r="D16" s="40">
        <v>75.05</v>
      </c>
      <c r="E16" s="40">
        <f>MAX($D$16*Assumptions!$C$40,$D$16*Assumptions!$C$10^LOG(MAX(1,SUM($D17:E17)),Assumptions!$C$41))</f>
        <v>75.05</v>
      </c>
      <c r="F16" s="40">
        <f>MAX($D$16*Assumptions!$C$40,$D$16*Assumptions!$C$10^LOG(MAX(1,SUM($D17:F17)),Assumptions!$C$41))</f>
        <v>75.05</v>
      </c>
      <c r="G16" s="40">
        <f>MAX($D$16*Assumptions!$C$40,$D$16*Assumptions!$C$10^LOG(MAX(1,SUM($D17:G17)),Assumptions!$C$41))</f>
        <v>75.05</v>
      </c>
      <c r="H16" s="40">
        <f>MAX($D$16*Assumptions!$C$40,$D$16*Assumptions!$C$10^LOG(MAX(1,SUM($D17:H17)),Assumptions!$C$41))</f>
        <v>75.05</v>
      </c>
      <c r="I16" s="40">
        <f>MAX($D$16*Assumptions!$C$40,$D$16*Assumptions!$C$10^LOG(MAX(1,SUM($D17:I17)),Assumptions!$C$41))</f>
        <v>69.046000000000006</v>
      </c>
      <c r="J16" s="40">
        <f>MAX($D$16*Assumptions!$C$40,$D$16*Assumptions!$C$10^LOG(MAX(1,SUM($D17:J17)),Assumptions!$C$41))</f>
        <v>63.522320000000001</v>
      </c>
      <c r="K16" s="40">
        <f>MAX($D$16*Assumptions!$C$40,$D$16*Assumptions!$C$10^LOG(MAX(1,SUM($D17:K17)),Assumptions!$C$41))</f>
        <v>60.498358093748863</v>
      </c>
      <c r="L16" s="40">
        <f>MAX($D$16*Assumptions!$C$40,$D$16*Assumptions!$C$10^LOG(MAX(1,SUM($D17:L17)),Assumptions!$C$41))</f>
        <v>57.61835103062149</v>
      </c>
      <c r="M16" s="40">
        <f>MAX($D$16*Assumptions!$C$40,$D$16*Assumptions!$C$10^LOG(MAX(1,SUM($D17:M17)),Assumptions!$C$41))</f>
        <v>55.65848944624895</v>
      </c>
    </row>
    <row r="17" spans="2:14" ht="15" customHeight="1" x14ac:dyDescent="0.25">
      <c r="B17" s="75" t="s">
        <v>472</v>
      </c>
      <c r="C17" s="42" t="s">
        <v>470</v>
      </c>
      <c r="D17" s="76">
        <v>0</v>
      </c>
      <c r="E17" s="76">
        <v>0</v>
      </c>
      <c r="F17" s="76">
        <v>0</v>
      </c>
      <c r="G17" s="76">
        <v>0</v>
      </c>
      <c r="H17" s="76">
        <v>1</v>
      </c>
      <c r="I17" s="76">
        <v>1</v>
      </c>
      <c r="J17" s="76">
        <v>2</v>
      </c>
      <c r="K17" s="76">
        <v>2</v>
      </c>
      <c r="L17" s="76">
        <v>3</v>
      </c>
      <c r="M17" s="76">
        <v>3</v>
      </c>
    </row>
    <row r="18" spans="2:14" ht="15" customHeight="1" x14ac:dyDescent="0.25">
      <c r="B18" s="77" t="s">
        <v>473</v>
      </c>
      <c r="D18" s="12">
        <f t="shared" ref="D18:M18" si="3">D15*D17</f>
        <v>0</v>
      </c>
      <c r="E18" s="12">
        <f t="shared" si="3"/>
        <v>0</v>
      </c>
      <c r="F18" s="12">
        <f t="shared" si="3"/>
        <v>0</v>
      </c>
      <c r="G18" s="12">
        <f t="shared" si="3"/>
        <v>0</v>
      </c>
      <c r="H18" s="12">
        <f t="shared" si="3"/>
        <v>210</v>
      </c>
      <c r="I18" s="12">
        <f t="shared" si="3"/>
        <v>201.42492397913423</v>
      </c>
      <c r="J18" s="12">
        <f t="shared" si="3"/>
        <v>386.40000000000003</v>
      </c>
      <c r="K18" s="12">
        <f t="shared" si="3"/>
        <v>377.09062572520162</v>
      </c>
      <c r="L18" s="12">
        <f t="shared" si="3"/>
        <v>552.00830749155318</v>
      </c>
      <c r="M18" s="12">
        <f t="shared" si="3"/>
        <v>542.53893299959213</v>
      </c>
    </row>
    <row r="19" spans="2:14" ht="15" customHeight="1" x14ac:dyDescent="0.25">
      <c r="B19" s="75" t="s">
        <v>474</v>
      </c>
      <c r="D19" s="14">
        <f t="shared" ref="D19:M19" si="4">D16*D17</f>
        <v>0</v>
      </c>
      <c r="E19" s="14">
        <f t="shared" si="4"/>
        <v>0</v>
      </c>
      <c r="F19" s="14">
        <f t="shared" si="4"/>
        <v>0</v>
      </c>
      <c r="G19" s="14">
        <f t="shared" si="4"/>
        <v>0</v>
      </c>
      <c r="H19" s="14">
        <f t="shared" si="4"/>
        <v>75.05</v>
      </c>
      <c r="I19" s="14">
        <f t="shared" si="4"/>
        <v>69.046000000000006</v>
      </c>
      <c r="J19" s="14">
        <f t="shared" si="4"/>
        <v>127.04464</v>
      </c>
      <c r="K19" s="14">
        <f t="shared" si="4"/>
        <v>120.99671618749773</v>
      </c>
      <c r="L19" s="14">
        <f t="shared" si="4"/>
        <v>172.85505309186448</v>
      </c>
      <c r="M19" s="14">
        <f t="shared" si="4"/>
        <v>166.97546833874685</v>
      </c>
    </row>
    <row r="20" spans="2:14" ht="15" customHeight="1" x14ac:dyDescent="0.25">
      <c r="B20" s="78" t="s">
        <v>475</v>
      </c>
      <c r="D20" s="13">
        <f t="shared" ref="D20:M20" si="5">IF(D15=0,0,1-D16/D15)</f>
        <v>0.64261904761904765</v>
      </c>
      <c r="E20" s="13">
        <f t="shared" si="5"/>
        <v>0.64261904761904765</v>
      </c>
      <c r="F20" s="13">
        <f t="shared" si="5"/>
        <v>0.64261904761904765</v>
      </c>
      <c r="G20" s="13">
        <f t="shared" si="5"/>
        <v>0.64261904761904765</v>
      </c>
      <c r="H20" s="13">
        <f t="shared" si="5"/>
        <v>0.64261904761904765</v>
      </c>
      <c r="I20" s="13">
        <f t="shared" si="5"/>
        <v>0.65721223254798133</v>
      </c>
      <c r="J20" s="13">
        <f t="shared" si="5"/>
        <v>0.67120952380952381</v>
      </c>
      <c r="K20" s="13">
        <f t="shared" si="5"/>
        <v>0.67913093581999562</v>
      </c>
      <c r="L20" s="13">
        <f t="shared" si="5"/>
        <v>0.6868615005499541</v>
      </c>
      <c r="M20" s="13">
        <f t="shared" si="5"/>
        <v>0.6922332054299366</v>
      </c>
    </row>
    <row r="22" spans="2:14" ht="15" customHeight="1" x14ac:dyDescent="0.25">
      <c r="B22" s="123" t="s">
        <v>500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</row>
    <row r="23" spans="2:14" ht="15" customHeight="1" x14ac:dyDescent="0.25">
      <c r="B23" s="75" t="s">
        <v>469</v>
      </c>
      <c r="C23" s="42" t="s">
        <v>470</v>
      </c>
      <c r="D23" s="40">
        <v>200</v>
      </c>
      <c r="E23" s="40">
        <f>$D$23*(E24/$D$24)^Assumptions!$C$39</f>
        <v>200</v>
      </c>
      <c r="F23" s="40">
        <f>$D$23*(F24/$D$24)^Assumptions!$C$39</f>
        <v>200</v>
      </c>
      <c r="G23" s="40">
        <f>$D$23*(G24/$D$24)^Assumptions!$C$39</f>
        <v>200</v>
      </c>
      <c r="H23" s="40">
        <f>$D$23*(H24/$D$24)^Assumptions!$C$39</f>
        <v>191.83326093250878</v>
      </c>
      <c r="I23" s="40">
        <f>$D$23*(I24/$D$24)^Assumptions!$C$39</f>
        <v>184</v>
      </c>
      <c r="J23" s="40">
        <f>$D$23*(J24/$D$24)^Assumptions!$C$39</f>
        <v>179.56696463104839</v>
      </c>
      <c r="K23" s="40">
        <f>$D$23*(K24/$D$24)^Assumptions!$C$39</f>
        <v>175.24073253700101</v>
      </c>
      <c r="L23" s="40">
        <f>$D$23*(L24/$D$24)^Assumptions!$C$39</f>
        <v>172.23458190463242</v>
      </c>
      <c r="M23" s="40">
        <f>$D$23*(M24/$D$24)^Assumptions!$C$39</f>
        <v>169.28</v>
      </c>
    </row>
    <row r="24" spans="2:14" ht="15" customHeight="1" x14ac:dyDescent="0.25">
      <c r="B24" s="75" t="s">
        <v>471</v>
      </c>
      <c r="C24" s="42" t="s">
        <v>470</v>
      </c>
      <c r="D24" s="40">
        <v>64.599999999999994</v>
      </c>
      <c r="E24" s="40">
        <f>MAX($D$24*Assumptions!$C$40,$D$24*Assumptions!$C$10^LOG(MAX(1,SUM($D25:E25)),Assumptions!$C$41))</f>
        <v>64.599999999999994</v>
      </c>
      <c r="F24" s="40">
        <f>MAX($D$24*Assumptions!$C$40,$D$24*Assumptions!$C$10^LOG(MAX(1,SUM($D25:F25)),Assumptions!$C$41))</f>
        <v>64.599999999999994</v>
      </c>
      <c r="G24" s="40">
        <f>MAX($D$24*Assumptions!$C$40,$D$24*Assumptions!$C$10^LOG(MAX(1,SUM($D25:G25)),Assumptions!$C$41))</f>
        <v>64.599999999999994</v>
      </c>
      <c r="H24" s="40">
        <f>MAX($D$24*Assumptions!$C$40,$D$24*Assumptions!$C$10^LOG(MAX(1,SUM($D25:H25)),Assumptions!$C$41))</f>
        <v>59.431999999999995</v>
      </c>
      <c r="I24" s="40">
        <f>MAX($D$24*Assumptions!$C$40,$D$24*Assumptions!$C$10^LOG(MAX(1,SUM($D25:I25)),Assumptions!$C$41))</f>
        <v>54.677439999999997</v>
      </c>
      <c r="J24" s="40">
        <f>MAX($D$24*Assumptions!$C$40,$D$24*Assumptions!$C$10^LOG(MAX(1,SUM($D25:J25)),Assumptions!$C$41))</f>
        <v>52.074536080695218</v>
      </c>
      <c r="K24" s="40">
        <f>MAX($D$24*Assumptions!$C$40,$D$24*Assumptions!$C$10^LOG(MAX(1,SUM($D25:K25)),Assumptions!$C$41))</f>
        <v>49.595542659269128</v>
      </c>
      <c r="L24" s="40">
        <f>MAX($D$24*Assumptions!$C$40,$D$24*Assumptions!$C$10^LOG(MAX(1,SUM($D25:L25)),Assumptions!$C$41))</f>
        <v>47.908573194239601</v>
      </c>
      <c r="M24" s="40">
        <f>MAX($D$24*Assumptions!$C$40,$D$24*Assumptions!$C$10^LOG(MAX(1,SUM($D25:M25)),Assumptions!$C$41))</f>
        <v>46.278985216000002</v>
      </c>
    </row>
    <row r="25" spans="2:14" ht="15" customHeight="1" x14ac:dyDescent="0.25">
      <c r="B25" s="75" t="s">
        <v>472</v>
      </c>
      <c r="C25" s="42" t="s">
        <v>470</v>
      </c>
      <c r="D25" s="76">
        <v>0</v>
      </c>
      <c r="E25" s="76">
        <v>0</v>
      </c>
      <c r="F25" s="76">
        <v>0</v>
      </c>
      <c r="G25" s="76">
        <v>1</v>
      </c>
      <c r="H25" s="76">
        <v>1</v>
      </c>
      <c r="I25" s="76">
        <v>2</v>
      </c>
      <c r="J25" s="76">
        <v>2</v>
      </c>
      <c r="K25" s="76">
        <v>3</v>
      </c>
      <c r="L25" s="76">
        <v>3</v>
      </c>
      <c r="M25" s="76">
        <v>4</v>
      </c>
    </row>
    <row r="26" spans="2:14" ht="15" customHeight="1" x14ac:dyDescent="0.25">
      <c r="B26" s="77" t="s">
        <v>473</v>
      </c>
      <c r="D26" s="12">
        <f t="shared" ref="D26:M26" si="6">D23*D25</f>
        <v>0</v>
      </c>
      <c r="E26" s="12">
        <f t="shared" si="6"/>
        <v>0</v>
      </c>
      <c r="F26" s="12">
        <f t="shared" si="6"/>
        <v>0</v>
      </c>
      <c r="G26" s="12">
        <f t="shared" si="6"/>
        <v>200</v>
      </c>
      <c r="H26" s="12">
        <f t="shared" si="6"/>
        <v>191.83326093250878</v>
      </c>
      <c r="I26" s="12">
        <f t="shared" si="6"/>
        <v>368</v>
      </c>
      <c r="J26" s="12">
        <f t="shared" si="6"/>
        <v>359.13392926209679</v>
      </c>
      <c r="K26" s="12">
        <f t="shared" si="6"/>
        <v>525.72219761100303</v>
      </c>
      <c r="L26" s="12">
        <f t="shared" si="6"/>
        <v>516.70374571389721</v>
      </c>
      <c r="M26" s="12">
        <f t="shared" si="6"/>
        <v>677.12</v>
      </c>
    </row>
    <row r="27" spans="2:14" ht="15" customHeight="1" x14ac:dyDescent="0.25">
      <c r="B27" s="75" t="s">
        <v>474</v>
      </c>
      <c r="D27" s="14">
        <f t="shared" ref="D27:M27" si="7">D24*D25</f>
        <v>0</v>
      </c>
      <c r="E27" s="14">
        <f t="shared" si="7"/>
        <v>0</v>
      </c>
      <c r="F27" s="14">
        <f t="shared" si="7"/>
        <v>0</v>
      </c>
      <c r="G27" s="14">
        <f t="shared" si="7"/>
        <v>64.599999999999994</v>
      </c>
      <c r="H27" s="14">
        <f t="shared" si="7"/>
        <v>59.431999999999995</v>
      </c>
      <c r="I27" s="14">
        <f t="shared" si="7"/>
        <v>109.35487999999999</v>
      </c>
      <c r="J27" s="14">
        <f t="shared" si="7"/>
        <v>104.14907216139044</v>
      </c>
      <c r="K27" s="14">
        <f t="shared" si="7"/>
        <v>148.78662797780737</v>
      </c>
      <c r="L27" s="14">
        <f t="shared" si="7"/>
        <v>143.7257195827188</v>
      </c>
      <c r="M27" s="14">
        <f t="shared" si="7"/>
        <v>185.11594086400001</v>
      </c>
    </row>
    <row r="28" spans="2:14" ht="15" customHeight="1" x14ac:dyDescent="0.25">
      <c r="B28" s="78" t="s">
        <v>475</v>
      </c>
      <c r="D28" s="13">
        <f t="shared" ref="D28:M28" si="8">IF(D23=0,0,1-D24/D23)</f>
        <v>0.67700000000000005</v>
      </c>
      <c r="E28" s="13">
        <f t="shared" si="8"/>
        <v>0.67700000000000005</v>
      </c>
      <c r="F28" s="13">
        <f t="shared" si="8"/>
        <v>0.67700000000000005</v>
      </c>
      <c r="G28" s="13">
        <f t="shared" si="8"/>
        <v>0.67700000000000005</v>
      </c>
      <c r="H28" s="13">
        <f t="shared" si="8"/>
        <v>0.69018928359399834</v>
      </c>
      <c r="I28" s="13">
        <f t="shared" si="8"/>
        <v>0.70284000000000002</v>
      </c>
      <c r="J28" s="13">
        <f t="shared" si="8"/>
        <v>0.70999935212085685</v>
      </c>
      <c r="K28" s="13">
        <f t="shared" si="8"/>
        <v>0.71698621695274345</v>
      </c>
      <c r="L28" s="13">
        <f t="shared" si="8"/>
        <v>0.72184115022401873</v>
      </c>
      <c r="M28" s="13">
        <f t="shared" si="8"/>
        <v>0.72661280000000006</v>
      </c>
    </row>
    <row r="30" spans="2:14" ht="21.75" customHeight="1" x14ac:dyDescent="0.25">
      <c r="B30" s="110" t="s">
        <v>501</v>
      </c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</row>
    <row r="31" spans="2:14" ht="15" customHeight="1" x14ac:dyDescent="0.25">
      <c r="B31" s="41" t="s">
        <v>64</v>
      </c>
      <c r="D31" s="43">
        <f t="shared" ref="D31:M31" si="9">D10+D18+D26</f>
        <v>0</v>
      </c>
      <c r="E31" s="43">
        <f t="shared" si="9"/>
        <v>0</v>
      </c>
      <c r="F31" s="43">
        <f t="shared" si="9"/>
        <v>0</v>
      </c>
      <c r="G31" s="43">
        <f t="shared" si="9"/>
        <v>350</v>
      </c>
      <c r="H31" s="43">
        <f t="shared" si="9"/>
        <v>682.65051403788766</v>
      </c>
      <c r="I31" s="43">
        <f t="shared" si="9"/>
        <v>973.45059439899319</v>
      </c>
      <c r="J31" s="43">
        <f t="shared" si="9"/>
        <v>1267.9350903434383</v>
      </c>
      <c r="K31" s="43">
        <f t="shared" si="9"/>
        <v>1540.0817826779967</v>
      </c>
      <c r="L31" s="43">
        <f t="shared" si="9"/>
        <v>1821.7060770861185</v>
      </c>
      <c r="M31" s="43">
        <f t="shared" si="9"/>
        <v>2098.1519608603717</v>
      </c>
    </row>
    <row r="32" spans="2:14" ht="15" customHeight="1" x14ac:dyDescent="0.25">
      <c r="B32" s="41" t="s">
        <v>479</v>
      </c>
      <c r="D32" s="43">
        <f t="shared" ref="D32:M32" si="10">D11+D19+D27</f>
        <v>0</v>
      </c>
      <c r="E32" s="43">
        <f t="shared" si="10"/>
        <v>0</v>
      </c>
      <c r="F32" s="43">
        <f t="shared" si="10"/>
        <v>0</v>
      </c>
      <c r="G32" s="43">
        <f t="shared" si="10"/>
        <v>115.89999999999999</v>
      </c>
      <c r="H32" s="43">
        <f t="shared" si="10"/>
        <v>224.38049579148148</v>
      </c>
      <c r="I32" s="43">
        <f t="shared" si="10"/>
        <v>302.4608041922445</v>
      </c>
      <c r="J32" s="43">
        <f t="shared" si="10"/>
        <v>386.74840682789653</v>
      </c>
      <c r="K32" s="43">
        <f t="shared" si="10"/>
        <v>454.9702914678054</v>
      </c>
      <c r="L32" s="43">
        <f t="shared" si="10"/>
        <v>532.0407726745832</v>
      </c>
      <c r="M32" s="43">
        <f t="shared" si="10"/>
        <v>603.46140920274684</v>
      </c>
    </row>
    <row r="33" spans="2:13" ht="15" customHeight="1" x14ac:dyDescent="0.25">
      <c r="B33" s="41" t="s">
        <v>480</v>
      </c>
      <c r="D33" s="79">
        <f t="shared" ref="D33:M33" si="11">D9+D17+D25</f>
        <v>0</v>
      </c>
      <c r="E33" s="79">
        <f t="shared" si="11"/>
        <v>0</v>
      </c>
      <c r="F33" s="79">
        <f t="shared" si="11"/>
        <v>0</v>
      </c>
      <c r="G33" s="79">
        <f t="shared" si="11"/>
        <v>2</v>
      </c>
      <c r="H33" s="79">
        <f t="shared" si="11"/>
        <v>4</v>
      </c>
      <c r="I33" s="79">
        <f t="shared" si="11"/>
        <v>6</v>
      </c>
      <c r="J33" s="79">
        <f t="shared" si="11"/>
        <v>8</v>
      </c>
      <c r="K33" s="79">
        <f t="shared" si="11"/>
        <v>10</v>
      </c>
      <c r="L33" s="79">
        <f t="shared" si="11"/>
        <v>12</v>
      </c>
      <c r="M33" s="79">
        <f t="shared" si="11"/>
        <v>14</v>
      </c>
    </row>
    <row r="34" spans="2:13" ht="15" customHeight="1" x14ac:dyDescent="0.25">
      <c r="B34" s="41" t="s">
        <v>481</v>
      </c>
      <c r="D34" s="43">
        <f t="shared" ref="D34:M34" si="12">D31-D32</f>
        <v>0</v>
      </c>
      <c r="E34" s="43">
        <f t="shared" si="12"/>
        <v>0</v>
      </c>
      <c r="F34" s="43">
        <f t="shared" si="12"/>
        <v>0</v>
      </c>
      <c r="G34" s="43">
        <f t="shared" si="12"/>
        <v>234.10000000000002</v>
      </c>
      <c r="H34" s="43">
        <f t="shared" si="12"/>
        <v>458.27001824640615</v>
      </c>
      <c r="I34" s="43">
        <f t="shared" si="12"/>
        <v>670.98979020674869</v>
      </c>
      <c r="J34" s="43">
        <f t="shared" si="12"/>
        <v>881.18668351554174</v>
      </c>
      <c r="K34" s="43">
        <f t="shared" si="12"/>
        <v>1085.1114912101912</v>
      </c>
      <c r="L34" s="43">
        <f t="shared" si="12"/>
        <v>1289.6653044115353</v>
      </c>
      <c r="M34" s="43">
        <f t="shared" si="12"/>
        <v>1494.6905516576248</v>
      </c>
    </row>
    <row r="35" spans="2:13" ht="15" customHeight="1" x14ac:dyDescent="0.25">
      <c r="B35" s="41" t="s">
        <v>67</v>
      </c>
      <c r="D35" s="80">
        <f t="shared" ref="D35:M35" si="13">IFERROR((D31-D32)/D31,0)</f>
        <v>0</v>
      </c>
      <c r="E35" s="80">
        <f t="shared" si="13"/>
        <v>0</v>
      </c>
      <c r="F35" s="80">
        <f t="shared" si="13"/>
        <v>0</v>
      </c>
      <c r="G35" s="80">
        <f t="shared" si="13"/>
        <v>0.66885714285714293</v>
      </c>
      <c r="H35" s="80">
        <f t="shared" si="13"/>
        <v>0.67130985595503678</v>
      </c>
      <c r="I35" s="80">
        <f t="shared" si="13"/>
        <v>0.68929003081149354</v>
      </c>
      <c r="J35" s="80">
        <f t="shared" si="13"/>
        <v>0.69497775574367904</v>
      </c>
      <c r="K35" s="80">
        <f t="shared" si="13"/>
        <v>0.7045804342437757</v>
      </c>
      <c r="L35" s="80">
        <f t="shared" si="13"/>
        <v>0.70794368017611231</v>
      </c>
      <c r="M35" s="80">
        <f t="shared" si="13"/>
        <v>0.71238431702759486</v>
      </c>
    </row>
    <row r="36" spans="2:13" ht="15" customHeight="1" x14ac:dyDescent="0.25">
      <c r="B36" s="42" t="s">
        <v>482</v>
      </c>
      <c r="D36" s="14">
        <f>D31</f>
        <v>0</v>
      </c>
      <c r="E36" s="14">
        <f t="shared" ref="E36:M36" si="14">D36+E31</f>
        <v>0</v>
      </c>
      <c r="F36" s="14">
        <f t="shared" si="14"/>
        <v>0</v>
      </c>
      <c r="G36" s="14">
        <f t="shared" si="14"/>
        <v>350</v>
      </c>
      <c r="H36" s="14">
        <f t="shared" si="14"/>
        <v>1032.6505140378877</v>
      </c>
      <c r="I36" s="14">
        <f t="shared" si="14"/>
        <v>2006.1011084368808</v>
      </c>
      <c r="J36" s="14">
        <f t="shared" si="14"/>
        <v>3274.036198780319</v>
      </c>
      <c r="K36" s="14">
        <f t="shared" si="14"/>
        <v>4814.1179814583156</v>
      </c>
      <c r="L36" s="14">
        <f t="shared" si="14"/>
        <v>6635.8240585444346</v>
      </c>
      <c r="M36" s="14">
        <f t="shared" si="14"/>
        <v>8733.9760194048067</v>
      </c>
    </row>
  </sheetData>
  <mergeCells count="7">
    <mergeCell ref="B22:M22"/>
    <mergeCell ref="B30:N30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8A303"/>
    <pageSetUpPr fitToPage="1"/>
  </sheetPr>
  <dimension ref="B1:N36"/>
  <sheetViews>
    <sheetView showGridLines="0" zoomScaleNormal="100" workbookViewId="0">
      <pane xSplit="3" ySplit="4" topLeftCell="D8" activePane="bottomRight" state="frozen"/>
      <selection pane="topRight" activeCell="D1" sqref="D1"/>
      <selection pane="bottomLeft" activeCell="A8" sqref="A8"/>
      <selection pane="bottomRight" activeCell="D25" sqref="D25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24" t="s">
        <v>463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</row>
    <row r="2" spans="2:14" ht="24" customHeight="1" x14ac:dyDescent="0.25">
      <c r="B2" s="108" t="s">
        <v>502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2:14" ht="31.5" customHeight="1" x14ac:dyDescent="0.25">
      <c r="B3" s="2" t="s">
        <v>465</v>
      </c>
      <c r="C3" s="111" t="s">
        <v>503</v>
      </c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5" spans="2:14" ht="15" customHeight="1" x14ac:dyDescent="0.25">
      <c r="B5" s="9" t="s">
        <v>467</v>
      </c>
      <c r="C5" s="9" t="s">
        <v>312</v>
      </c>
      <c r="D5" s="10" t="s">
        <v>30</v>
      </c>
      <c r="E5" s="10" t="s">
        <v>25</v>
      </c>
      <c r="F5" s="10" t="s">
        <v>44</v>
      </c>
      <c r="G5" s="10" t="s">
        <v>39</v>
      </c>
      <c r="H5" s="10" t="s">
        <v>58</v>
      </c>
      <c r="I5" s="10" t="s">
        <v>59</v>
      </c>
      <c r="J5" s="10" t="s">
        <v>60</v>
      </c>
      <c r="K5" s="10" t="s">
        <v>61</v>
      </c>
      <c r="L5" s="10" t="s">
        <v>62</v>
      </c>
      <c r="M5" s="10" t="s">
        <v>63</v>
      </c>
    </row>
    <row r="6" spans="2:14" ht="15" customHeight="1" x14ac:dyDescent="0.25">
      <c r="B6" s="126" t="s">
        <v>504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</row>
    <row r="7" spans="2:14" ht="15" customHeight="1" x14ac:dyDescent="0.25">
      <c r="B7" s="75" t="s">
        <v>469</v>
      </c>
      <c r="C7" s="42" t="s">
        <v>470</v>
      </c>
      <c r="D7" s="40">
        <v>15</v>
      </c>
      <c r="E7" s="40">
        <f>$D$7*(E8/$D$8)^Assumptions!$C$39</f>
        <v>15</v>
      </c>
      <c r="F7" s="40">
        <f>$D$7*(F8/$D$8)^Assumptions!$C$39</f>
        <v>15</v>
      </c>
      <c r="G7" s="40">
        <f>$D$7*(G8/$D$8)^Assumptions!$C$39</f>
        <v>13.8</v>
      </c>
      <c r="H7" s="40">
        <f>$D$7*(H8/$D$8)^Assumptions!$C$39</f>
        <v>12.985374866768518</v>
      </c>
      <c r="I7" s="40">
        <f>$D$7*(I8/$D$8)^Assumptions!$C$39</f>
        <v>12.549900398011133</v>
      </c>
      <c r="J7" s="40">
        <f>$D$7*(J8/$D$8)^Assumptions!$C$39</f>
        <v>12.549900398011133</v>
      </c>
      <c r="K7" s="40">
        <f>$D$7*(K8/$D$8)^Assumptions!$C$39</f>
        <v>12.549900398011133</v>
      </c>
      <c r="L7" s="40">
        <f>$D$7*(L8/$D$8)^Assumptions!$C$39</f>
        <v>12.549900398011133</v>
      </c>
      <c r="M7" s="40">
        <f>$D$7*(M8/$D$8)^Assumptions!$C$39</f>
        <v>12.549900398011133</v>
      </c>
    </row>
    <row r="8" spans="2:14" ht="15" customHeight="1" x14ac:dyDescent="0.25">
      <c r="B8" s="75" t="s">
        <v>471</v>
      </c>
      <c r="C8" s="42" t="s">
        <v>470</v>
      </c>
      <c r="D8" s="40">
        <v>4.085</v>
      </c>
      <c r="E8" s="40">
        <f>MAX($D$8*Assumptions!$C$40,$D$8*Assumptions!$C$10^LOG(MAX(1,SUM($D9:E9)),Assumptions!$C$41))</f>
        <v>4.085</v>
      </c>
      <c r="F8" s="40">
        <f>MAX($D$8*Assumptions!$C$40,$D$8*Assumptions!$C$10^LOG(MAX(1,SUM($D9:F9)),Assumptions!$C$41))</f>
        <v>4.085</v>
      </c>
      <c r="G8" s="40">
        <f>MAX($D$8*Assumptions!$C$40,$D$8*Assumptions!$C$10^LOG(MAX(1,SUM($D9:G9)),Assumptions!$C$41))</f>
        <v>3.457544</v>
      </c>
      <c r="H8" s="40">
        <f>MAX($D$8*Assumptions!$C$40,$D$8*Assumptions!$C$10^LOG(MAX(1,SUM($D9:H9)),Assumptions!$C$41))</f>
        <v>3.061389059371586</v>
      </c>
      <c r="I8" s="40">
        <f>MAX($D$8*Assumptions!$C$40,$D$8*Assumptions!$C$10^LOG(MAX(1,SUM($D9:I9)),Assumptions!$C$41))</f>
        <v>2.8594999999999997</v>
      </c>
      <c r="J8" s="40">
        <f>MAX($D$8*Assumptions!$C$40,$D$8*Assumptions!$C$10^LOG(MAX(1,SUM($D9:J9)),Assumptions!$C$41))</f>
        <v>2.8594999999999997</v>
      </c>
      <c r="K8" s="40">
        <f>MAX($D$8*Assumptions!$C$40,$D$8*Assumptions!$C$10^LOG(MAX(1,SUM($D9:K9)),Assumptions!$C$41))</f>
        <v>2.8594999999999997</v>
      </c>
      <c r="L8" s="40">
        <f>MAX($D$8*Assumptions!$C$40,$D$8*Assumptions!$C$10^LOG(MAX(1,SUM($D9:L9)),Assumptions!$C$41))</f>
        <v>2.8594999999999997</v>
      </c>
      <c r="M8" s="40">
        <f>MAX($D$8*Assumptions!$C$40,$D$8*Assumptions!$C$10^LOG(MAX(1,SUM($D9:M9)),Assumptions!$C$41))</f>
        <v>2.8594999999999997</v>
      </c>
    </row>
    <row r="9" spans="2:14" ht="15" customHeight="1" x14ac:dyDescent="0.25">
      <c r="B9" s="75" t="s">
        <v>472</v>
      </c>
      <c r="C9" s="42" t="s">
        <v>470</v>
      </c>
      <c r="D9" s="76">
        <v>0</v>
      </c>
      <c r="E9" s="76">
        <v>0</v>
      </c>
      <c r="F9" s="76">
        <v>1</v>
      </c>
      <c r="G9" s="76">
        <v>3</v>
      </c>
      <c r="H9" s="76">
        <v>7</v>
      </c>
      <c r="I9" s="76">
        <v>12</v>
      </c>
      <c r="J9" s="76">
        <v>18</v>
      </c>
      <c r="K9" s="76">
        <v>24</v>
      </c>
      <c r="L9" s="76">
        <v>28</v>
      </c>
      <c r="M9" s="76">
        <v>32</v>
      </c>
    </row>
    <row r="10" spans="2:14" ht="15" customHeight="1" x14ac:dyDescent="0.25">
      <c r="B10" s="77" t="s">
        <v>473</v>
      </c>
      <c r="D10" s="12">
        <f t="shared" ref="D10:M10" si="0">D7*D9</f>
        <v>0</v>
      </c>
      <c r="E10" s="12">
        <f t="shared" si="0"/>
        <v>0</v>
      </c>
      <c r="F10" s="12">
        <f t="shared" si="0"/>
        <v>15</v>
      </c>
      <c r="G10" s="12">
        <f t="shared" si="0"/>
        <v>41.400000000000006</v>
      </c>
      <c r="H10" s="12">
        <f t="shared" si="0"/>
        <v>90.897624067379624</v>
      </c>
      <c r="I10" s="12">
        <f t="shared" si="0"/>
        <v>150.59880477613359</v>
      </c>
      <c r="J10" s="12">
        <f t="shared" si="0"/>
        <v>225.89820716420039</v>
      </c>
      <c r="K10" s="12">
        <f t="shared" si="0"/>
        <v>301.19760955226718</v>
      </c>
      <c r="L10" s="12">
        <f t="shared" si="0"/>
        <v>351.39721114431171</v>
      </c>
      <c r="M10" s="12">
        <f t="shared" si="0"/>
        <v>401.59681273635624</v>
      </c>
    </row>
    <row r="11" spans="2:14" ht="15" customHeight="1" x14ac:dyDescent="0.25">
      <c r="B11" s="75" t="s">
        <v>474</v>
      </c>
      <c r="D11" s="14">
        <f t="shared" ref="D11:M11" si="1">D8*D9</f>
        <v>0</v>
      </c>
      <c r="E11" s="14">
        <f t="shared" si="1"/>
        <v>0</v>
      </c>
      <c r="F11" s="14">
        <f t="shared" si="1"/>
        <v>4.085</v>
      </c>
      <c r="G11" s="14">
        <f t="shared" si="1"/>
        <v>10.372631999999999</v>
      </c>
      <c r="H11" s="14">
        <f t="shared" si="1"/>
        <v>21.429723415601103</v>
      </c>
      <c r="I11" s="14">
        <f t="shared" si="1"/>
        <v>34.313999999999993</v>
      </c>
      <c r="J11" s="14">
        <f t="shared" si="1"/>
        <v>51.470999999999997</v>
      </c>
      <c r="K11" s="14">
        <f t="shared" si="1"/>
        <v>68.627999999999986</v>
      </c>
      <c r="L11" s="14">
        <f t="shared" si="1"/>
        <v>80.065999999999988</v>
      </c>
      <c r="M11" s="14">
        <f t="shared" si="1"/>
        <v>91.503999999999991</v>
      </c>
    </row>
    <row r="12" spans="2:14" ht="15" customHeight="1" x14ac:dyDescent="0.25">
      <c r="B12" s="78" t="s">
        <v>475</v>
      </c>
      <c r="D12" s="13">
        <f t="shared" ref="D12:M12" si="2">IF(D7=0,0,1-D8/D7)</f>
        <v>0.72766666666666668</v>
      </c>
      <c r="E12" s="13">
        <f t="shared" si="2"/>
        <v>0.72766666666666668</v>
      </c>
      <c r="F12" s="13">
        <f t="shared" si="2"/>
        <v>0.72766666666666668</v>
      </c>
      <c r="G12" s="13">
        <f t="shared" si="2"/>
        <v>0.7494533333333333</v>
      </c>
      <c r="H12" s="13">
        <f t="shared" si="2"/>
        <v>0.76424330519666939</v>
      </c>
      <c r="I12" s="13">
        <f t="shared" si="2"/>
        <v>0.77214958610722007</v>
      </c>
      <c r="J12" s="13">
        <f t="shared" si="2"/>
        <v>0.77214958610722007</v>
      </c>
      <c r="K12" s="13">
        <f t="shared" si="2"/>
        <v>0.77214958610722007</v>
      </c>
      <c r="L12" s="13">
        <f t="shared" si="2"/>
        <v>0.77214958610722007</v>
      </c>
      <c r="M12" s="13">
        <f t="shared" si="2"/>
        <v>0.77214958610722007</v>
      </c>
    </row>
    <row r="14" spans="2:14" ht="15" customHeight="1" x14ac:dyDescent="0.25">
      <c r="B14" s="126" t="s">
        <v>505</v>
      </c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</row>
    <row r="15" spans="2:14" ht="15" customHeight="1" x14ac:dyDescent="0.25">
      <c r="B15" s="75" t="s">
        <v>469</v>
      </c>
      <c r="C15" s="42" t="s">
        <v>470</v>
      </c>
      <c r="D15" s="40">
        <v>60</v>
      </c>
      <c r="E15" s="40">
        <f>$D$15*(E16/$D$16)^Assumptions!$C$39</f>
        <v>60</v>
      </c>
      <c r="F15" s="40">
        <f>$D$15*(F16/$D$16)^Assumptions!$C$39</f>
        <v>60</v>
      </c>
      <c r="G15" s="40">
        <f>$D$15*(G16/$D$16)^Assumptions!$C$39</f>
        <v>60</v>
      </c>
      <c r="H15" s="40">
        <f>$D$15*(H16/$D$16)^Assumptions!$C$39</f>
        <v>60</v>
      </c>
      <c r="I15" s="40">
        <f>$D$15*(I16/$D$16)^Assumptions!$C$39</f>
        <v>57.549978279752636</v>
      </c>
      <c r="J15" s="40">
        <f>$D$15*(J16/$D$16)^Assumptions!$C$39</f>
        <v>55.199999999999996</v>
      </c>
      <c r="K15" s="40">
        <f>$D$15*(K16/$D$16)^Assumptions!$C$39</f>
        <v>53.372929385928565</v>
      </c>
      <c r="L15" s="40">
        <f>$D$15*(L16/$D$16)^Assumptions!$C$39</f>
        <v>52.240116108134131</v>
      </c>
      <c r="M15" s="40">
        <f>$D$15*(M16/$D$16)^Assumptions!$C$39</f>
        <v>51.19351544811601</v>
      </c>
    </row>
    <row r="16" spans="2:14" ht="15" customHeight="1" x14ac:dyDescent="0.25">
      <c r="B16" s="75" t="s">
        <v>471</v>
      </c>
      <c r="C16" s="42" t="s">
        <v>470</v>
      </c>
      <c r="D16" s="40">
        <v>20.425000000000001</v>
      </c>
      <c r="E16" s="40">
        <f>MAX($D$16*Assumptions!$C$40,$D$16*Assumptions!$C$10^LOG(MAX(1,SUM($D17:E17)),Assumptions!$C$41))</f>
        <v>20.425000000000001</v>
      </c>
      <c r="F16" s="40">
        <f>MAX($D$16*Assumptions!$C$40,$D$16*Assumptions!$C$10^LOG(MAX(1,SUM($D17:F17)),Assumptions!$C$41))</f>
        <v>20.425000000000001</v>
      </c>
      <c r="G16" s="40">
        <f>MAX($D$16*Assumptions!$C$40,$D$16*Assumptions!$C$10^LOG(MAX(1,SUM($D17:G17)),Assumptions!$C$41))</f>
        <v>20.425000000000001</v>
      </c>
      <c r="H16" s="40">
        <f>MAX($D$16*Assumptions!$C$40,$D$16*Assumptions!$C$10^LOG(MAX(1,SUM($D17:H17)),Assumptions!$C$41))</f>
        <v>20.425000000000001</v>
      </c>
      <c r="I16" s="40">
        <f>MAX($D$16*Assumptions!$C$40,$D$16*Assumptions!$C$10^LOG(MAX(1,SUM($D17:I17)),Assumptions!$C$41))</f>
        <v>18.791</v>
      </c>
      <c r="J16" s="40">
        <f>MAX($D$16*Assumptions!$C$40,$D$16*Assumptions!$C$10^LOG(MAX(1,SUM($D17:J17)),Assumptions!$C$41))</f>
        <v>17.28772</v>
      </c>
      <c r="K16" s="40">
        <f>MAX($D$16*Assumptions!$C$40,$D$16*Assumptions!$C$10^LOG(MAX(1,SUM($D17:K17)),Assumptions!$C$41))</f>
        <v>16.162243444717046</v>
      </c>
      <c r="L16" s="40">
        <f>MAX($D$16*Assumptions!$C$40,$D$16*Assumptions!$C$10^LOG(MAX(1,SUM($D17:L17)),Assumptions!$C$41))</f>
        <v>15.483453404305003</v>
      </c>
      <c r="M16" s="40">
        <f>MAX($D$16*Assumptions!$C$40,$D$16*Assumptions!$C$10^LOG(MAX(1,SUM($D17:M17)),Assumptions!$C$41))</f>
        <v>14.869263969139684</v>
      </c>
    </row>
    <row r="17" spans="2:14" ht="15" customHeight="1" x14ac:dyDescent="0.25">
      <c r="B17" s="75" t="s">
        <v>472</v>
      </c>
      <c r="C17" s="42" t="s">
        <v>470</v>
      </c>
      <c r="D17" s="76">
        <v>0</v>
      </c>
      <c r="E17" s="76">
        <v>0</v>
      </c>
      <c r="F17" s="76">
        <v>0</v>
      </c>
      <c r="G17" s="76">
        <v>0</v>
      </c>
      <c r="H17" s="76">
        <v>1</v>
      </c>
      <c r="I17" s="76">
        <v>1</v>
      </c>
      <c r="J17" s="76">
        <v>2</v>
      </c>
      <c r="K17" s="76">
        <v>3</v>
      </c>
      <c r="L17" s="76">
        <v>3</v>
      </c>
      <c r="M17" s="76">
        <v>4</v>
      </c>
    </row>
    <row r="18" spans="2:14" ht="15" customHeight="1" x14ac:dyDescent="0.25">
      <c r="B18" s="77" t="s">
        <v>473</v>
      </c>
      <c r="D18" s="12">
        <f t="shared" ref="D18:M18" si="3">D15*D17</f>
        <v>0</v>
      </c>
      <c r="E18" s="12">
        <f t="shared" si="3"/>
        <v>0</v>
      </c>
      <c r="F18" s="12">
        <f t="shared" si="3"/>
        <v>0</v>
      </c>
      <c r="G18" s="12">
        <f t="shared" si="3"/>
        <v>0</v>
      </c>
      <c r="H18" s="12">
        <f t="shared" si="3"/>
        <v>60</v>
      </c>
      <c r="I18" s="12">
        <f t="shared" si="3"/>
        <v>57.549978279752636</v>
      </c>
      <c r="J18" s="12">
        <f t="shared" si="3"/>
        <v>110.39999999999999</v>
      </c>
      <c r="K18" s="12">
        <f t="shared" si="3"/>
        <v>160.1187881577857</v>
      </c>
      <c r="L18" s="12">
        <f t="shared" si="3"/>
        <v>156.72034832440238</v>
      </c>
      <c r="M18" s="12">
        <f t="shared" si="3"/>
        <v>204.77406179246404</v>
      </c>
    </row>
    <row r="19" spans="2:14" ht="15" customHeight="1" x14ac:dyDescent="0.25">
      <c r="B19" s="75" t="s">
        <v>474</v>
      </c>
      <c r="D19" s="14">
        <f t="shared" ref="D19:M19" si="4">D16*D17</f>
        <v>0</v>
      </c>
      <c r="E19" s="14">
        <f t="shared" si="4"/>
        <v>0</v>
      </c>
      <c r="F19" s="14">
        <f t="shared" si="4"/>
        <v>0</v>
      </c>
      <c r="G19" s="14">
        <f t="shared" si="4"/>
        <v>0</v>
      </c>
      <c r="H19" s="14">
        <f t="shared" si="4"/>
        <v>20.425000000000001</v>
      </c>
      <c r="I19" s="14">
        <f t="shared" si="4"/>
        <v>18.791</v>
      </c>
      <c r="J19" s="14">
        <f t="shared" si="4"/>
        <v>34.57544</v>
      </c>
      <c r="K19" s="14">
        <f t="shared" si="4"/>
        <v>48.486730334151133</v>
      </c>
      <c r="L19" s="14">
        <f t="shared" si="4"/>
        <v>46.450360212915008</v>
      </c>
      <c r="M19" s="14">
        <f t="shared" si="4"/>
        <v>59.477055876558737</v>
      </c>
    </row>
    <row r="20" spans="2:14" ht="15" customHeight="1" x14ac:dyDescent="0.25">
      <c r="B20" s="78" t="s">
        <v>475</v>
      </c>
      <c r="D20" s="13">
        <f t="shared" ref="D20:M20" si="5">IF(D15=0,0,1-D16/D15)</f>
        <v>0.6595833333333333</v>
      </c>
      <c r="E20" s="13">
        <f t="shared" si="5"/>
        <v>0.6595833333333333</v>
      </c>
      <c r="F20" s="13">
        <f t="shared" si="5"/>
        <v>0.6595833333333333</v>
      </c>
      <c r="G20" s="13">
        <f t="shared" si="5"/>
        <v>0.6595833333333333</v>
      </c>
      <c r="H20" s="13">
        <f t="shared" si="5"/>
        <v>0.6595833333333333</v>
      </c>
      <c r="I20" s="13">
        <f t="shared" si="5"/>
        <v>0.67348380378779238</v>
      </c>
      <c r="J20" s="13">
        <f t="shared" si="5"/>
        <v>0.68681666666666663</v>
      </c>
      <c r="K20" s="13">
        <f t="shared" si="5"/>
        <v>0.69718275480344682</v>
      </c>
      <c r="L20" s="13">
        <f t="shared" si="5"/>
        <v>0.70360989680315567</v>
      </c>
      <c r="M20" s="13">
        <f t="shared" si="5"/>
        <v>0.70954790193673067</v>
      </c>
    </row>
    <row r="22" spans="2:14" ht="15" customHeight="1" x14ac:dyDescent="0.25">
      <c r="B22" s="126" t="s">
        <v>506</v>
      </c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</row>
    <row r="23" spans="2:14" ht="15" customHeight="1" x14ac:dyDescent="0.25">
      <c r="B23" s="75" t="s">
        <v>469</v>
      </c>
      <c r="C23" s="42" t="s">
        <v>470</v>
      </c>
      <c r="D23" s="40">
        <v>45</v>
      </c>
      <c r="E23" s="40">
        <f>$D$23*(E24/$D$24)^Assumptions!$C$39</f>
        <v>45</v>
      </c>
      <c r="F23" s="40">
        <f>$D$23*(F24/$D$24)^Assumptions!$C$39</f>
        <v>45</v>
      </c>
      <c r="G23" s="40">
        <f>$D$23*(G24/$D$24)^Assumptions!$C$39</f>
        <v>42.122587965806844</v>
      </c>
      <c r="H23" s="40">
        <f>$D$23*(H24/$D$24)^Assumptions!$C$39</f>
        <v>40.029697039446432</v>
      </c>
      <c r="I23" s="40">
        <f>$D$23*(I24/$D$24)^Assumptions!$C$39</f>
        <v>38.56666032239314</v>
      </c>
      <c r="J23" s="40">
        <f>$D$23*(J24/$D$24)^Assumptions!$C$39</f>
        <v>37.649701194033398</v>
      </c>
      <c r="K23" s="40">
        <f>$D$23*(K24/$D$24)^Assumptions!$C$39</f>
        <v>37.649701194033398</v>
      </c>
      <c r="L23" s="40">
        <f>$D$23*(L24/$D$24)^Assumptions!$C$39</f>
        <v>37.649701194033398</v>
      </c>
      <c r="M23" s="40">
        <f>$D$23*(M24/$D$24)^Assumptions!$C$39</f>
        <v>37.649701194033398</v>
      </c>
    </row>
    <row r="24" spans="2:14" ht="15" customHeight="1" x14ac:dyDescent="0.25">
      <c r="B24" s="75" t="s">
        <v>471</v>
      </c>
      <c r="C24" s="42" t="s">
        <v>470</v>
      </c>
      <c r="D24" s="40">
        <v>15.39</v>
      </c>
      <c r="E24" s="40">
        <f>MAX($D$24*Assumptions!$C$40,$D$24*Assumptions!$C$10^LOG(MAX(1,SUM($D25:E25)),Assumptions!$C$41))</f>
        <v>15.39</v>
      </c>
      <c r="F24" s="40">
        <f>MAX($D$24*Assumptions!$C$40,$D$24*Assumptions!$C$10^LOG(MAX(1,SUM($D25:F25)),Assumptions!$C$41))</f>
        <v>15.39</v>
      </c>
      <c r="G24" s="40">
        <f>MAX($D$24*Assumptions!$C$40,$D$24*Assumptions!$C$10^LOG(MAX(1,SUM($D25:G25)),Assumptions!$C$41))</f>
        <v>13.484774368722228</v>
      </c>
      <c r="H24" s="40">
        <f>MAX($D$24*Assumptions!$C$40,$D$24*Assumptions!$C$10^LOG(MAX(1,SUM($D25:H25)),Assumptions!$C$41))</f>
        <v>12.178062502530985</v>
      </c>
      <c r="I24" s="40">
        <f>MAX($D$24*Assumptions!$C$40,$D$24*Assumptions!$C$10^LOG(MAX(1,SUM($D25:I25)),Assumptions!$C$41))</f>
        <v>11.304143392013687</v>
      </c>
      <c r="J24" s="40">
        <f>MAX($D$24*Assumptions!$C$40,$D$24*Assumptions!$C$10^LOG(MAX(1,SUM($D25:J25)),Assumptions!$C$41))</f>
        <v>10.773</v>
      </c>
      <c r="K24" s="40">
        <f>MAX($D$24*Assumptions!$C$40,$D$24*Assumptions!$C$10^LOG(MAX(1,SUM($D25:K25)),Assumptions!$C$41))</f>
        <v>10.773</v>
      </c>
      <c r="L24" s="40">
        <f>MAX($D$24*Assumptions!$C$40,$D$24*Assumptions!$C$10^LOG(MAX(1,SUM($D25:L25)),Assumptions!$C$41))</f>
        <v>10.773</v>
      </c>
      <c r="M24" s="40">
        <f>MAX($D$24*Assumptions!$C$40,$D$24*Assumptions!$C$10^LOG(MAX(1,SUM($D25:M25)),Assumptions!$C$41))</f>
        <v>10.773</v>
      </c>
    </row>
    <row r="25" spans="2:14" ht="15" customHeight="1" x14ac:dyDescent="0.25">
      <c r="B25" s="75" t="s">
        <v>472</v>
      </c>
      <c r="C25" s="42" t="s">
        <v>470</v>
      </c>
      <c r="D25" s="76">
        <v>0</v>
      </c>
      <c r="E25" s="76">
        <v>0</v>
      </c>
      <c r="F25" s="76">
        <v>1</v>
      </c>
      <c r="G25" s="76">
        <v>2</v>
      </c>
      <c r="H25" s="76">
        <v>4</v>
      </c>
      <c r="I25" s="76">
        <v>6</v>
      </c>
      <c r="J25" s="76">
        <v>9</v>
      </c>
      <c r="K25" s="76">
        <v>11</v>
      </c>
      <c r="L25" s="76">
        <v>13</v>
      </c>
      <c r="M25" s="76">
        <v>15</v>
      </c>
    </row>
    <row r="26" spans="2:14" ht="15" customHeight="1" x14ac:dyDescent="0.25">
      <c r="B26" s="77" t="s">
        <v>473</v>
      </c>
      <c r="D26" s="12">
        <f t="shared" ref="D26:M26" si="6">D23*D25</f>
        <v>0</v>
      </c>
      <c r="E26" s="12">
        <f t="shared" si="6"/>
        <v>0</v>
      </c>
      <c r="F26" s="12">
        <f t="shared" si="6"/>
        <v>45</v>
      </c>
      <c r="G26" s="12">
        <f t="shared" si="6"/>
        <v>84.245175931613687</v>
      </c>
      <c r="H26" s="12">
        <f t="shared" si="6"/>
        <v>160.11878815778573</v>
      </c>
      <c r="I26" s="12">
        <f t="shared" si="6"/>
        <v>231.39996193435883</v>
      </c>
      <c r="J26" s="12">
        <f t="shared" si="6"/>
        <v>338.84731074630059</v>
      </c>
      <c r="K26" s="12">
        <f t="shared" si="6"/>
        <v>414.14671313436736</v>
      </c>
      <c r="L26" s="12">
        <f t="shared" si="6"/>
        <v>489.44611552243418</v>
      </c>
      <c r="M26" s="12">
        <f t="shared" si="6"/>
        <v>564.74551791050101</v>
      </c>
    </row>
    <row r="27" spans="2:14" ht="15" customHeight="1" x14ac:dyDescent="0.25">
      <c r="B27" s="75" t="s">
        <v>474</v>
      </c>
      <c r="D27" s="14">
        <f t="shared" ref="D27:M27" si="7">D24*D25</f>
        <v>0</v>
      </c>
      <c r="E27" s="14">
        <f t="shared" si="7"/>
        <v>0</v>
      </c>
      <c r="F27" s="14">
        <f t="shared" si="7"/>
        <v>15.39</v>
      </c>
      <c r="G27" s="14">
        <f t="shared" si="7"/>
        <v>26.969548737444455</v>
      </c>
      <c r="H27" s="14">
        <f t="shared" si="7"/>
        <v>48.712250010123938</v>
      </c>
      <c r="I27" s="14">
        <f t="shared" si="7"/>
        <v>67.824860352082126</v>
      </c>
      <c r="J27" s="14">
        <f t="shared" si="7"/>
        <v>96.956999999999994</v>
      </c>
      <c r="K27" s="14">
        <f t="shared" si="7"/>
        <v>118.503</v>
      </c>
      <c r="L27" s="14">
        <f t="shared" si="7"/>
        <v>140.04900000000001</v>
      </c>
      <c r="M27" s="14">
        <f t="shared" si="7"/>
        <v>161.595</v>
      </c>
    </row>
    <row r="28" spans="2:14" ht="15" customHeight="1" x14ac:dyDescent="0.25">
      <c r="B28" s="78" t="s">
        <v>475</v>
      </c>
      <c r="D28" s="13">
        <f t="shared" ref="D28:M28" si="8">IF(D23=0,0,1-D24/D23)</f>
        <v>0.65799999999999992</v>
      </c>
      <c r="E28" s="13">
        <f t="shared" si="8"/>
        <v>0.65799999999999992</v>
      </c>
      <c r="F28" s="13">
        <f t="shared" si="8"/>
        <v>0.65799999999999992</v>
      </c>
      <c r="G28" s="13">
        <f t="shared" si="8"/>
        <v>0.67986833145986802</v>
      </c>
      <c r="H28" s="13">
        <f t="shared" si="8"/>
        <v>0.69577430250020711</v>
      </c>
      <c r="I28" s="13">
        <f t="shared" si="8"/>
        <v>0.70689338154981207</v>
      </c>
      <c r="J28" s="13">
        <f t="shared" si="8"/>
        <v>0.71386227092534615</v>
      </c>
      <c r="K28" s="13">
        <f t="shared" si="8"/>
        <v>0.71386227092534615</v>
      </c>
      <c r="L28" s="13">
        <f t="shared" si="8"/>
        <v>0.71386227092534615</v>
      </c>
      <c r="M28" s="13">
        <f t="shared" si="8"/>
        <v>0.71386227092534615</v>
      </c>
    </row>
    <row r="30" spans="2:14" ht="21.75" customHeight="1" x14ac:dyDescent="0.25">
      <c r="B30" s="110" t="s">
        <v>507</v>
      </c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</row>
    <row r="31" spans="2:14" ht="15" customHeight="1" x14ac:dyDescent="0.25">
      <c r="B31" s="41" t="s">
        <v>64</v>
      </c>
      <c r="D31" s="43">
        <f t="shared" ref="D31:M31" si="9">D10+D18+D26</f>
        <v>0</v>
      </c>
      <c r="E31" s="43">
        <f t="shared" si="9"/>
        <v>0</v>
      </c>
      <c r="F31" s="43">
        <f t="shared" si="9"/>
        <v>60</v>
      </c>
      <c r="G31" s="43">
        <f t="shared" si="9"/>
        <v>125.64517593161369</v>
      </c>
      <c r="H31" s="43">
        <f t="shared" si="9"/>
        <v>311.01641222516537</v>
      </c>
      <c r="I31" s="43">
        <f t="shared" si="9"/>
        <v>439.54874499024504</v>
      </c>
      <c r="J31" s="43">
        <f t="shared" si="9"/>
        <v>675.14551791050098</v>
      </c>
      <c r="K31" s="43">
        <f t="shared" si="9"/>
        <v>875.46311084442027</v>
      </c>
      <c r="L31" s="43">
        <f t="shared" si="9"/>
        <v>997.56367499114822</v>
      </c>
      <c r="M31" s="43">
        <f t="shared" si="9"/>
        <v>1171.1163924393213</v>
      </c>
    </row>
    <row r="32" spans="2:14" ht="15" customHeight="1" x14ac:dyDescent="0.25">
      <c r="B32" s="41" t="s">
        <v>479</v>
      </c>
      <c r="D32" s="43">
        <f t="shared" ref="D32:M32" si="10">D11+D19+D27</f>
        <v>0</v>
      </c>
      <c r="E32" s="43">
        <f t="shared" si="10"/>
        <v>0</v>
      </c>
      <c r="F32" s="43">
        <f t="shared" si="10"/>
        <v>19.475000000000001</v>
      </c>
      <c r="G32" s="43">
        <f t="shared" si="10"/>
        <v>37.342180737444451</v>
      </c>
      <c r="H32" s="43">
        <f t="shared" si="10"/>
        <v>90.566973425725038</v>
      </c>
      <c r="I32" s="43">
        <f t="shared" si="10"/>
        <v>120.92986035208212</v>
      </c>
      <c r="J32" s="43">
        <f t="shared" si="10"/>
        <v>183.00343999999998</v>
      </c>
      <c r="K32" s="43">
        <f t="shared" si="10"/>
        <v>235.61773033415113</v>
      </c>
      <c r="L32" s="43">
        <f t="shared" si="10"/>
        <v>266.56536021291504</v>
      </c>
      <c r="M32" s="43">
        <f t="shared" si="10"/>
        <v>312.57605587655871</v>
      </c>
    </row>
    <row r="33" spans="2:13" ht="15" customHeight="1" x14ac:dyDescent="0.25">
      <c r="B33" s="41" t="s">
        <v>480</v>
      </c>
      <c r="D33" s="79">
        <f t="shared" ref="D33:M33" si="11">D9+D17+D25</f>
        <v>0</v>
      </c>
      <c r="E33" s="79">
        <f t="shared" si="11"/>
        <v>0</v>
      </c>
      <c r="F33" s="79">
        <f t="shared" si="11"/>
        <v>2</v>
      </c>
      <c r="G33" s="79">
        <f t="shared" si="11"/>
        <v>5</v>
      </c>
      <c r="H33" s="79">
        <f t="shared" si="11"/>
        <v>12</v>
      </c>
      <c r="I33" s="79">
        <f t="shared" si="11"/>
        <v>19</v>
      </c>
      <c r="J33" s="79">
        <f t="shared" si="11"/>
        <v>29</v>
      </c>
      <c r="K33" s="79">
        <f t="shared" si="11"/>
        <v>38</v>
      </c>
      <c r="L33" s="79">
        <f t="shared" si="11"/>
        <v>44</v>
      </c>
      <c r="M33" s="79">
        <f t="shared" si="11"/>
        <v>51</v>
      </c>
    </row>
    <row r="34" spans="2:13" ht="15" customHeight="1" x14ac:dyDescent="0.25">
      <c r="B34" s="41" t="s">
        <v>481</v>
      </c>
      <c r="D34" s="43">
        <f t="shared" ref="D34:M34" si="12">D31-D32</f>
        <v>0</v>
      </c>
      <c r="E34" s="43">
        <f t="shared" si="12"/>
        <v>0</v>
      </c>
      <c r="F34" s="43">
        <f t="shared" si="12"/>
        <v>40.524999999999999</v>
      </c>
      <c r="G34" s="43">
        <f t="shared" si="12"/>
        <v>88.302995194169242</v>
      </c>
      <c r="H34" s="43">
        <f t="shared" si="12"/>
        <v>220.44943879944032</v>
      </c>
      <c r="I34" s="43">
        <f t="shared" si="12"/>
        <v>318.61888463816291</v>
      </c>
      <c r="J34" s="43">
        <f t="shared" si="12"/>
        <v>492.14207791050103</v>
      </c>
      <c r="K34" s="43">
        <f t="shared" si="12"/>
        <v>639.84538051026914</v>
      </c>
      <c r="L34" s="43">
        <f t="shared" si="12"/>
        <v>730.99831477823318</v>
      </c>
      <c r="M34" s="43">
        <f t="shared" si="12"/>
        <v>858.5403365627626</v>
      </c>
    </row>
    <row r="35" spans="2:13" ht="15" customHeight="1" x14ac:dyDescent="0.25">
      <c r="B35" s="41" t="s">
        <v>67</v>
      </c>
      <c r="D35" s="80">
        <f t="shared" ref="D35:M35" si="13">IFERROR((D31-D32)/D31,0)</f>
        <v>0</v>
      </c>
      <c r="E35" s="80">
        <f t="shared" si="13"/>
        <v>0</v>
      </c>
      <c r="F35" s="80">
        <f t="shared" si="13"/>
        <v>0.67541666666666667</v>
      </c>
      <c r="G35" s="80">
        <f t="shared" si="13"/>
        <v>0.70279654224234522</v>
      </c>
      <c r="H35" s="80">
        <f t="shared" si="13"/>
        <v>0.70880323395873523</v>
      </c>
      <c r="I35" s="80">
        <f t="shared" si="13"/>
        <v>0.7248772480177007</v>
      </c>
      <c r="J35" s="80">
        <f t="shared" si="13"/>
        <v>0.72894222779353568</v>
      </c>
      <c r="K35" s="80">
        <f t="shared" si="13"/>
        <v>0.73086503883997112</v>
      </c>
      <c r="L35" s="80">
        <f t="shared" si="13"/>
        <v>0.7327836138226661</v>
      </c>
      <c r="M35" s="80">
        <f t="shared" si="13"/>
        <v>0.73309565309260738</v>
      </c>
    </row>
    <row r="36" spans="2:13" ht="15" customHeight="1" x14ac:dyDescent="0.25">
      <c r="B36" s="42" t="s">
        <v>482</v>
      </c>
      <c r="D36" s="14">
        <f>D31</f>
        <v>0</v>
      </c>
      <c r="E36" s="14">
        <f t="shared" ref="E36:M36" si="14">D36+E31</f>
        <v>0</v>
      </c>
      <c r="F36" s="14">
        <f t="shared" si="14"/>
        <v>60</v>
      </c>
      <c r="G36" s="14">
        <f t="shared" si="14"/>
        <v>185.64517593161369</v>
      </c>
      <c r="H36" s="14">
        <f t="shared" si="14"/>
        <v>496.66158815677909</v>
      </c>
      <c r="I36" s="14">
        <f t="shared" si="14"/>
        <v>936.21033314702413</v>
      </c>
      <c r="J36" s="14">
        <f t="shared" si="14"/>
        <v>1611.3558510575251</v>
      </c>
      <c r="K36" s="14">
        <f t="shared" si="14"/>
        <v>2486.8189619019454</v>
      </c>
      <c r="L36" s="14">
        <f t="shared" si="14"/>
        <v>3484.3826368930936</v>
      </c>
      <c r="M36" s="14">
        <f t="shared" si="14"/>
        <v>4655.4990293324154</v>
      </c>
    </row>
  </sheetData>
  <mergeCells count="7">
    <mergeCell ref="B22:M22"/>
    <mergeCell ref="B30:N30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8A303"/>
    <pageSetUpPr fitToPage="1"/>
  </sheetPr>
  <dimension ref="B1:N36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P31" sqref="P31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24" t="s">
        <v>463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</row>
    <row r="2" spans="2:14" ht="24" customHeight="1" x14ac:dyDescent="0.25">
      <c r="B2" s="108" t="s">
        <v>508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2:14" ht="31.5" customHeight="1" x14ac:dyDescent="0.25">
      <c r="B3" s="2" t="s">
        <v>465</v>
      </c>
      <c r="C3" s="111" t="s">
        <v>509</v>
      </c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5" spans="2:14" ht="15" customHeight="1" x14ac:dyDescent="0.25">
      <c r="B5" s="9" t="s">
        <v>467</v>
      </c>
      <c r="C5" s="9" t="s">
        <v>312</v>
      </c>
      <c r="D5" s="10" t="s">
        <v>30</v>
      </c>
      <c r="E5" s="10" t="s">
        <v>25</v>
      </c>
      <c r="F5" s="10" t="s">
        <v>44</v>
      </c>
      <c r="G5" s="10" t="s">
        <v>39</v>
      </c>
      <c r="H5" s="10" t="s">
        <v>58</v>
      </c>
      <c r="I5" s="10" t="s">
        <v>59</v>
      </c>
      <c r="J5" s="10" t="s">
        <v>60</v>
      </c>
      <c r="K5" s="10" t="s">
        <v>61</v>
      </c>
      <c r="L5" s="10" t="s">
        <v>62</v>
      </c>
      <c r="M5" s="10" t="s">
        <v>63</v>
      </c>
    </row>
    <row r="6" spans="2:14" ht="15" customHeight="1" x14ac:dyDescent="0.25">
      <c r="B6" s="127" t="s">
        <v>510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</row>
    <row r="7" spans="2:14" ht="15" customHeight="1" x14ac:dyDescent="0.25">
      <c r="B7" s="75" t="s">
        <v>469</v>
      </c>
      <c r="C7" s="42" t="s">
        <v>470</v>
      </c>
      <c r="D7" s="40">
        <v>3.8</v>
      </c>
      <c r="E7" s="40">
        <f>$D$7*(E8/$D$8)^Assumptions!$C$39</f>
        <v>3.380285527775476</v>
      </c>
      <c r="F7" s="40">
        <f>$D$7*(F8/$D$8)^Assumptions!$C$39</f>
        <v>3.204613379392129</v>
      </c>
      <c r="G7" s="40">
        <f>$D$7*(G8/$D$8)^Assumptions!$C$39</f>
        <v>3.1793081008294868</v>
      </c>
      <c r="H7" s="40">
        <f>$D$7*(H8/$D$8)^Assumptions!$C$39</f>
        <v>3.1793081008294868</v>
      </c>
      <c r="I7" s="40">
        <f>$D$7*(I8/$D$8)^Assumptions!$C$39</f>
        <v>3.1793081008294868</v>
      </c>
      <c r="J7" s="40">
        <f>$D$7*(J8/$D$8)^Assumptions!$C$39</f>
        <v>3.1793081008294868</v>
      </c>
      <c r="K7" s="40">
        <f>$D$7*(K8/$D$8)^Assumptions!$C$39</f>
        <v>3.1793081008294868</v>
      </c>
      <c r="L7" s="40">
        <f>$D$7*(L8/$D$8)^Assumptions!$C$39</f>
        <v>3.1793081008294868</v>
      </c>
      <c r="M7" s="40">
        <f>$D$7*(M8/$D$8)^Assumptions!$C$39</f>
        <v>3.1793081008294868</v>
      </c>
    </row>
    <row r="8" spans="2:14" ht="15" customHeight="1" x14ac:dyDescent="0.25">
      <c r="B8" s="75" t="s">
        <v>471</v>
      </c>
      <c r="C8" s="42" t="s">
        <v>470</v>
      </c>
      <c r="D8" s="40">
        <v>0.61750000000000005</v>
      </c>
      <c r="E8" s="40">
        <f>MAX($D$8*Assumptions!$C$40,$D$8*Assumptions!$C$10^LOG(MAX(1,SUM($D9:E9)),Assumptions!$C$41))</f>
        <v>0.48862596460772467</v>
      </c>
      <c r="F8" s="40">
        <f>MAX($D$8*Assumptions!$C$40,$D$8*Assumptions!$C$10^LOG(MAX(1,SUM($D9:F9)),Assumptions!$C$41))</f>
        <v>0.43915825607870912</v>
      </c>
      <c r="G8" s="40">
        <f>MAX($D$8*Assumptions!$C$40,$D$8*Assumptions!$C$10^LOG(MAX(1,SUM($D9:G9)),Assumptions!$C$41))</f>
        <v>0.43225000000000002</v>
      </c>
      <c r="H8" s="40">
        <f>MAX($D$8*Assumptions!$C$40,$D$8*Assumptions!$C$10^LOG(MAX(1,SUM($D9:H9)),Assumptions!$C$41))</f>
        <v>0.43225000000000002</v>
      </c>
      <c r="I8" s="40">
        <f>MAX($D$8*Assumptions!$C$40,$D$8*Assumptions!$C$10^LOG(MAX(1,SUM($D9:I9)),Assumptions!$C$41))</f>
        <v>0.43225000000000002</v>
      </c>
      <c r="J8" s="40">
        <f>MAX($D$8*Assumptions!$C$40,$D$8*Assumptions!$C$10^LOG(MAX(1,SUM($D9:J9)),Assumptions!$C$41))</f>
        <v>0.43225000000000002</v>
      </c>
      <c r="K8" s="40">
        <f>MAX($D$8*Assumptions!$C$40,$D$8*Assumptions!$C$10^LOG(MAX(1,SUM($D9:K9)),Assumptions!$C$41))</f>
        <v>0.43225000000000002</v>
      </c>
      <c r="L8" s="40">
        <f>MAX($D$8*Assumptions!$C$40,$D$8*Assumptions!$C$10^LOG(MAX(1,SUM($D9:L9)),Assumptions!$C$41))</f>
        <v>0.43225000000000002</v>
      </c>
      <c r="M8" s="40">
        <f>MAX($D$8*Assumptions!$C$40,$D$8*Assumptions!$C$10^LOG(MAX(1,SUM($D9:M9)),Assumptions!$C$41))</f>
        <v>0.43225000000000002</v>
      </c>
    </row>
    <row r="9" spans="2:14" ht="15" customHeight="1" x14ac:dyDescent="0.25">
      <c r="B9" s="75" t="s">
        <v>472</v>
      </c>
      <c r="C9" s="42" t="s">
        <v>470</v>
      </c>
      <c r="D9" s="76">
        <v>2</v>
      </c>
      <c r="E9" s="76">
        <v>5</v>
      </c>
      <c r="F9" s="76">
        <v>10</v>
      </c>
      <c r="G9" s="76">
        <v>18</v>
      </c>
      <c r="H9" s="76">
        <v>25</v>
      </c>
      <c r="I9" s="76">
        <v>32</v>
      </c>
      <c r="J9" s="76">
        <v>40</v>
      </c>
      <c r="K9" s="76">
        <v>45</v>
      </c>
      <c r="L9" s="76">
        <v>50</v>
      </c>
      <c r="M9" s="76">
        <v>55</v>
      </c>
    </row>
    <row r="10" spans="2:14" ht="15" customHeight="1" x14ac:dyDescent="0.25">
      <c r="B10" s="77" t="s">
        <v>473</v>
      </c>
      <c r="D10" s="12">
        <f t="shared" ref="D10:M10" si="0">D7*D9</f>
        <v>7.6</v>
      </c>
      <c r="E10" s="12">
        <f t="shared" si="0"/>
        <v>16.901427638877379</v>
      </c>
      <c r="F10" s="12">
        <f t="shared" si="0"/>
        <v>32.046133793921292</v>
      </c>
      <c r="G10" s="12">
        <f t="shared" si="0"/>
        <v>57.227545814930764</v>
      </c>
      <c r="H10" s="12">
        <f t="shared" si="0"/>
        <v>79.482702520737163</v>
      </c>
      <c r="I10" s="12">
        <f t="shared" si="0"/>
        <v>101.73785922654358</v>
      </c>
      <c r="J10" s="12">
        <f t="shared" si="0"/>
        <v>127.17232403317948</v>
      </c>
      <c r="K10" s="12">
        <f t="shared" si="0"/>
        <v>143.0688645373269</v>
      </c>
      <c r="L10" s="12">
        <f t="shared" si="0"/>
        <v>158.96540504147433</v>
      </c>
      <c r="M10" s="12">
        <f t="shared" si="0"/>
        <v>174.86194554562178</v>
      </c>
    </row>
    <row r="11" spans="2:14" ht="15" customHeight="1" x14ac:dyDescent="0.25">
      <c r="B11" s="75" t="s">
        <v>474</v>
      </c>
      <c r="D11" s="14">
        <f t="shared" ref="D11:M11" si="1">D8*D9</f>
        <v>1.2350000000000001</v>
      </c>
      <c r="E11" s="14">
        <f t="shared" si="1"/>
        <v>2.4431298230386234</v>
      </c>
      <c r="F11" s="14">
        <f t="shared" si="1"/>
        <v>4.3915825607870911</v>
      </c>
      <c r="G11" s="14">
        <f t="shared" si="1"/>
        <v>7.7805</v>
      </c>
      <c r="H11" s="14">
        <f t="shared" si="1"/>
        <v>10.80625</v>
      </c>
      <c r="I11" s="14">
        <f t="shared" si="1"/>
        <v>13.832000000000001</v>
      </c>
      <c r="J11" s="14">
        <f t="shared" si="1"/>
        <v>17.29</v>
      </c>
      <c r="K11" s="14">
        <f t="shared" si="1"/>
        <v>19.451250000000002</v>
      </c>
      <c r="L11" s="14">
        <f t="shared" si="1"/>
        <v>21.612500000000001</v>
      </c>
      <c r="M11" s="14">
        <f t="shared" si="1"/>
        <v>23.77375</v>
      </c>
    </row>
    <row r="12" spans="2:14" ht="15" customHeight="1" x14ac:dyDescent="0.25">
      <c r="B12" s="78" t="s">
        <v>475</v>
      </c>
      <c r="D12" s="13">
        <f t="shared" ref="D12:M12" si="2">IF(D7=0,0,1-D8/D7)</f>
        <v>0.83749999999999991</v>
      </c>
      <c r="E12" s="13">
        <f t="shared" si="2"/>
        <v>0.85544831624644346</v>
      </c>
      <c r="F12" s="13">
        <f t="shared" si="2"/>
        <v>0.86296061206546815</v>
      </c>
      <c r="G12" s="13">
        <f t="shared" si="2"/>
        <v>0.86404274568821271</v>
      </c>
      <c r="H12" s="13">
        <f t="shared" si="2"/>
        <v>0.86404274568821271</v>
      </c>
      <c r="I12" s="13">
        <f t="shared" si="2"/>
        <v>0.86404274568821271</v>
      </c>
      <c r="J12" s="13">
        <f t="shared" si="2"/>
        <v>0.86404274568821271</v>
      </c>
      <c r="K12" s="13">
        <f t="shared" si="2"/>
        <v>0.86404274568821271</v>
      </c>
      <c r="L12" s="13">
        <f t="shared" si="2"/>
        <v>0.86404274568821271</v>
      </c>
      <c r="M12" s="13">
        <f t="shared" si="2"/>
        <v>0.86404274568821271</v>
      </c>
    </row>
    <row r="14" spans="2:14" ht="15" customHeight="1" x14ac:dyDescent="0.25">
      <c r="B14" s="127" t="s">
        <v>931</v>
      </c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</row>
    <row r="15" spans="2:14" ht="15" customHeight="1" x14ac:dyDescent="0.25">
      <c r="B15" s="75" t="s">
        <v>469</v>
      </c>
      <c r="C15" s="42" t="s">
        <v>470</v>
      </c>
      <c r="D15" s="40">
        <v>11.4</v>
      </c>
      <c r="E15" s="40">
        <f>$D$15*(E16/$D$16)^Assumptions!$C$39</f>
        <v>10.671055618004401</v>
      </c>
      <c r="F15" s="40">
        <f>$D$15*(F16/$D$16)^Assumptions!$C$39</f>
        <v>10.14085658332643</v>
      </c>
      <c r="G15" s="40">
        <f>$D$15*(G16/$D$16)^Assumptions!$C$39</f>
        <v>9.6864881819952426</v>
      </c>
      <c r="H15" s="40">
        <f>$D$15*(H16/$D$16)^Assumptions!$C$39</f>
        <v>9.5379243024884612</v>
      </c>
      <c r="I15" s="40">
        <f>$D$15*(I16/$D$16)^Assumptions!$C$39</f>
        <v>9.5379243024884612</v>
      </c>
      <c r="J15" s="40">
        <f>$D$15*(J16/$D$16)^Assumptions!$C$39</f>
        <v>9.5379243024884612</v>
      </c>
      <c r="K15" s="40">
        <f>$D$15*(K16/$D$16)^Assumptions!$C$39</f>
        <v>9.5379243024884612</v>
      </c>
      <c r="L15" s="40">
        <f>$D$15*(L16/$D$16)^Assumptions!$C$39</f>
        <v>9.5379243024884612</v>
      </c>
      <c r="M15" s="40">
        <f>$D$15*(M16/$D$16)^Assumptions!$C$39</f>
        <v>9.5379243024884612</v>
      </c>
    </row>
    <row r="16" spans="2:14" ht="15" customHeight="1" x14ac:dyDescent="0.25">
      <c r="B16" s="75" t="s">
        <v>471</v>
      </c>
      <c r="C16" s="42" t="s">
        <v>470</v>
      </c>
      <c r="D16" s="40">
        <v>0.47499999999999998</v>
      </c>
      <c r="E16" s="40">
        <f>MAX($D$16*Assumptions!$C$40,$D$16*Assumptions!$C$10^LOG(MAX(1,SUM($D17:E17)),Assumptions!$C$41))</f>
        <v>0.41619673977537736</v>
      </c>
      <c r="F16" s="40">
        <f>MAX($D$16*Assumptions!$C$40,$D$16*Assumptions!$C$10^LOG(MAX(1,SUM($D17:F17)),Assumptions!$C$41))</f>
        <v>0.37586612662132662</v>
      </c>
      <c r="G16" s="40">
        <f>MAX($D$16*Assumptions!$C$40,$D$16*Assumptions!$C$10^LOG(MAX(1,SUM($D17:G17)),Assumptions!$C$41))</f>
        <v>0.34293879130092653</v>
      </c>
      <c r="H16" s="40">
        <f>MAX($D$16*Assumptions!$C$40,$D$16*Assumptions!$C$10^LOG(MAX(1,SUM($D17:H17)),Assumptions!$C$41))</f>
        <v>0.33249999999999996</v>
      </c>
      <c r="I16" s="40">
        <f>MAX($D$16*Assumptions!$C$40,$D$16*Assumptions!$C$10^LOG(MAX(1,SUM($D17:I17)),Assumptions!$C$41))</f>
        <v>0.33249999999999996</v>
      </c>
      <c r="J16" s="40">
        <f>MAX($D$16*Assumptions!$C$40,$D$16*Assumptions!$C$10^LOG(MAX(1,SUM($D17:J17)),Assumptions!$C$41))</f>
        <v>0.33249999999999996</v>
      </c>
      <c r="K16" s="40">
        <f>MAX($D$16*Assumptions!$C$40,$D$16*Assumptions!$C$10^LOG(MAX(1,SUM($D17:K17)),Assumptions!$C$41))</f>
        <v>0.33249999999999996</v>
      </c>
      <c r="L16" s="40">
        <f>MAX($D$16*Assumptions!$C$40,$D$16*Assumptions!$C$10^LOG(MAX(1,SUM($D17:L17)),Assumptions!$C$41))</f>
        <v>0.33249999999999996</v>
      </c>
      <c r="M16" s="40">
        <f>MAX($D$16*Assumptions!$C$40,$D$16*Assumptions!$C$10^LOG(MAX(1,SUM($D17:M17)),Assumptions!$C$41))</f>
        <v>0.33249999999999996</v>
      </c>
    </row>
    <row r="17" spans="2:14" ht="15" customHeight="1" x14ac:dyDescent="0.25">
      <c r="B17" s="75" t="s">
        <v>472</v>
      </c>
      <c r="C17" s="42" t="s">
        <v>470</v>
      </c>
      <c r="D17" s="76">
        <v>1</v>
      </c>
      <c r="E17" s="76">
        <v>2</v>
      </c>
      <c r="F17" s="76">
        <v>4</v>
      </c>
      <c r="G17" s="76">
        <v>8</v>
      </c>
      <c r="H17" s="76">
        <v>12</v>
      </c>
      <c r="I17" s="76">
        <v>18</v>
      </c>
      <c r="J17" s="76">
        <v>24</v>
      </c>
      <c r="K17" s="76">
        <v>28</v>
      </c>
      <c r="L17" s="76">
        <v>32</v>
      </c>
      <c r="M17" s="76">
        <v>35</v>
      </c>
    </row>
    <row r="18" spans="2:14" ht="15" customHeight="1" x14ac:dyDescent="0.25">
      <c r="B18" s="77" t="s">
        <v>473</v>
      </c>
      <c r="D18" s="12">
        <f t="shared" ref="D18:M18" si="3">D15*D17</f>
        <v>11.4</v>
      </c>
      <c r="E18" s="12">
        <f t="shared" si="3"/>
        <v>21.342111236008801</v>
      </c>
      <c r="F18" s="12">
        <f t="shared" si="3"/>
        <v>40.563426333305721</v>
      </c>
      <c r="G18" s="12">
        <f t="shared" si="3"/>
        <v>77.491905455961941</v>
      </c>
      <c r="H18" s="12">
        <f t="shared" si="3"/>
        <v>114.45509162986153</v>
      </c>
      <c r="I18" s="12">
        <f t="shared" si="3"/>
        <v>171.68263744479231</v>
      </c>
      <c r="J18" s="12">
        <f t="shared" si="3"/>
        <v>228.91018325972306</v>
      </c>
      <c r="K18" s="12">
        <f t="shared" si="3"/>
        <v>267.06188046967691</v>
      </c>
      <c r="L18" s="12">
        <f t="shared" si="3"/>
        <v>305.21357767963076</v>
      </c>
      <c r="M18" s="12">
        <f t="shared" si="3"/>
        <v>333.82735058709613</v>
      </c>
    </row>
    <row r="19" spans="2:14" ht="15" customHeight="1" x14ac:dyDescent="0.25">
      <c r="B19" s="75" t="s">
        <v>474</v>
      </c>
      <c r="D19" s="14">
        <f t="shared" ref="D19:M19" si="4">D16*D17</f>
        <v>0.47499999999999998</v>
      </c>
      <c r="E19" s="14">
        <f t="shared" si="4"/>
        <v>0.83239347955075471</v>
      </c>
      <c r="F19" s="14">
        <f t="shared" si="4"/>
        <v>1.5034645064853065</v>
      </c>
      <c r="G19" s="14">
        <f t="shared" si="4"/>
        <v>2.7435103304074122</v>
      </c>
      <c r="H19" s="14">
        <f t="shared" si="4"/>
        <v>3.9899999999999993</v>
      </c>
      <c r="I19" s="14">
        <f t="shared" si="4"/>
        <v>5.9849999999999994</v>
      </c>
      <c r="J19" s="14">
        <f t="shared" si="4"/>
        <v>7.9799999999999986</v>
      </c>
      <c r="K19" s="14">
        <f t="shared" si="4"/>
        <v>9.3099999999999987</v>
      </c>
      <c r="L19" s="14">
        <f t="shared" si="4"/>
        <v>10.639999999999999</v>
      </c>
      <c r="M19" s="14">
        <f t="shared" si="4"/>
        <v>11.637499999999999</v>
      </c>
    </row>
    <row r="20" spans="2:14" ht="15" customHeight="1" x14ac:dyDescent="0.25">
      <c r="B20" s="78" t="s">
        <v>475</v>
      </c>
      <c r="D20" s="13">
        <f t="shared" ref="D20:M20" si="5">IF(D15=0,0,1-D16/D15)</f>
        <v>0.95833333333333337</v>
      </c>
      <c r="E20" s="13">
        <f t="shared" si="5"/>
        <v>0.96099760373536403</v>
      </c>
      <c r="F20" s="13">
        <f t="shared" si="5"/>
        <v>0.96293546570421629</v>
      </c>
      <c r="G20" s="13">
        <f t="shared" si="5"/>
        <v>0.96459616892545597</v>
      </c>
      <c r="H20" s="13">
        <f t="shared" si="5"/>
        <v>0.96513916556108015</v>
      </c>
      <c r="I20" s="13">
        <f t="shared" si="5"/>
        <v>0.96513916556108015</v>
      </c>
      <c r="J20" s="13">
        <f t="shared" si="5"/>
        <v>0.96513916556108015</v>
      </c>
      <c r="K20" s="13">
        <f t="shared" si="5"/>
        <v>0.96513916556108015</v>
      </c>
      <c r="L20" s="13">
        <f t="shared" si="5"/>
        <v>0.96513916556108015</v>
      </c>
      <c r="M20" s="13">
        <f t="shared" si="5"/>
        <v>0.96513916556108015</v>
      </c>
    </row>
    <row r="22" spans="2:14" ht="15" customHeight="1" x14ac:dyDescent="0.25">
      <c r="B22" s="127" t="s">
        <v>511</v>
      </c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</row>
    <row r="23" spans="2:14" ht="15" customHeight="1" x14ac:dyDescent="0.25">
      <c r="B23" s="75" t="s">
        <v>469</v>
      </c>
      <c r="C23" s="42" t="s">
        <v>470</v>
      </c>
      <c r="D23" s="40">
        <v>5.7</v>
      </c>
      <c r="E23" s="40">
        <f>$D$23*(E24/$D$24)^Assumptions!$C$39</f>
        <v>5.1176584919848791</v>
      </c>
      <c r="F23" s="40">
        <f>$D$23*(F24/$D$24)^Assumptions!$C$39</f>
        <v>4.8633839675710204</v>
      </c>
      <c r="G23" s="40">
        <f>$D$23*(G24/$D$24)^Assumptions!$C$39</f>
        <v>4.7689621512442306</v>
      </c>
      <c r="H23" s="40">
        <f>$D$23*(H24/$D$24)^Assumptions!$C$39</f>
        <v>4.7689621512442306</v>
      </c>
      <c r="I23" s="40">
        <f>$D$23*(I24/$D$24)^Assumptions!$C$39</f>
        <v>4.7689621512442306</v>
      </c>
      <c r="J23" s="40">
        <f>$D$23*(J24/$D$24)^Assumptions!$C$39</f>
        <v>4.7689621512442306</v>
      </c>
      <c r="K23" s="40">
        <f>$D$23*(K24/$D$24)^Assumptions!$C$39</f>
        <v>4.7689621512442306</v>
      </c>
      <c r="L23" s="40">
        <f>$D$23*(L24/$D$24)^Assumptions!$C$39</f>
        <v>4.7689621512442306</v>
      </c>
      <c r="M23" s="40">
        <f>$D$23*(M24/$D$24)^Assumptions!$C$39</f>
        <v>4.7689621512442306</v>
      </c>
    </row>
    <row r="24" spans="2:14" ht="15" customHeight="1" x14ac:dyDescent="0.25">
      <c r="B24" s="75" t="s">
        <v>471</v>
      </c>
      <c r="C24" s="42" t="s">
        <v>470</v>
      </c>
      <c r="D24" s="40">
        <v>0.19</v>
      </c>
      <c r="E24" s="40">
        <f>MAX($D$24*Assumptions!$C$40,$D$24*Assumptions!$C$10^LOG(MAX(1,SUM($D25:E25)),Assumptions!$C$41))</f>
        <v>0.1531604002373389</v>
      </c>
      <c r="F24" s="40">
        <f>MAX($D$24*Assumptions!$C$40,$D$24*Assumptions!$C$10^LOG(MAX(1,SUM($D25:F25)),Assumptions!$C$41))</f>
        <v>0.13831873459664823</v>
      </c>
      <c r="G24" s="40">
        <f>MAX($D$24*Assumptions!$C$40,$D$24*Assumptions!$C$10^LOG(MAX(1,SUM($D25:G25)),Assumptions!$C$41))</f>
        <v>0.13299999999999998</v>
      </c>
      <c r="H24" s="40">
        <f>MAX($D$24*Assumptions!$C$40,$D$24*Assumptions!$C$10^LOG(MAX(1,SUM($D25:H25)),Assumptions!$C$41))</f>
        <v>0.13299999999999998</v>
      </c>
      <c r="I24" s="40">
        <f>MAX($D$24*Assumptions!$C$40,$D$24*Assumptions!$C$10^LOG(MAX(1,SUM($D25:I25)),Assumptions!$C$41))</f>
        <v>0.13299999999999998</v>
      </c>
      <c r="J24" s="40">
        <f>MAX($D$24*Assumptions!$C$40,$D$24*Assumptions!$C$10^LOG(MAX(1,SUM($D25:J25)),Assumptions!$C$41))</f>
        <v>0.13299999999999998</v>
      </c>
      <c r="K24" s="40">
        <f>MAX($D$24*Assumptions!$C$40,$D$24*Assumptions!$C$10^LOG(MAX(1,SUM($D25:K25)),Assumptions!$C$41))</f>
        <v>0.13299999999999998</v>
      </c>
      <c r="L24" s="40">
        <f>MAX($D$24*Assumptions!$C$40,$D$24*Assumptions!$C$10^LOG(MAX(1,SUM($D25:L25)),Assumptions!$C$41))</f>
        <v>0.13299999999999998</v>
      </c>
      <c r="M24" s="40">
        <f>MAX($D$24*Assumptions!$C$40,$D$24*Assumptions!$C$10^LOG(MAX(1,SUM($D25:M25)),Assumptions!$C$41))</f>
        <v>0.13299999999999998</v>
      </c>
    </row>
    <row r="25" spans="2:14" ht="15" customHeight="1" x14ac:dyDescent="0.25">
      <c r="B25" s="75" t="s">
        <v>472</v>
      </c>
      <c r="C25" s="42" t="s">
        <v>470</v>
      </c>
      <c r="D25" s="76">
        <v>2</v>
      </c>
      <c r="E25" s="76">
        <v>4</v>
      </c>
      <c r="F25" s="76">
        <v>8</v>
      </c>
      <c r="G25" s="76">
        <v>15</v>
      </c>
      <c r="H25" s="76">
        <v>22</v>
      </c>
      <c r="I25" s="76">
        <v>30</v>
      </c>
      <c r="J25" s="76">
        <v>38</v>
      </c>
      <c r="K25" s="76">
        <v>42</v>
      </c>
      <c r="L25" s="76">
        <v>48</v>
      </c>
      <c r="M25" s="76">
        <v>52</v>
      </c>
    </row>
    <row r="26" spans="2:14" ht="15" customHeight="1" x14ac:dyDescent="0.25">
      <c r="B26" s="77" t="s">
        <v>473</v>
      </c>
      <c r="D26" s="12">
        <f t="shared" ref="D26:M26" si="6">D23*D25</f>
        <v>11.4</v>
      </c>
      <c r="E26" s="12">
        <f t="shared" si="6"/>
        <v>20.470633967939516</v>
      </c>
      <c r="F26" s="12">
        <f t="shared" si="6"/>
        <v>38.907071740568163</v>
      </c>
      <c r="G26" s="12">
        <f t="shared" si="6"/>
        <v>71.534432268663465</v>
      </c>
      <c r="H26" s="12">
        <f t="shared" si="6"/>
        <v>104.91716732737308</v>
      </c>
      <c r="I26" s="12">
        <f t="shared" si="6"/>
        <v>143.06886453732693</v>
      </c>
      <c r="J26" s="12">
        <f t="shared" si="6"/>
        <v>181.22056174728075</v>
      </c>
      <c r="K26" s="12">
        <f t="shared" si="6"/>
        <v>200.29641035225768</v>
      </c>
      <c r="L26" s="12">
        <f t="shared" si="6"/>
        <v>228.91018325972306</v>
      </c>
      <c r="M26" s="12">
        <f t="shared" si="6"/>
        <v>247.98603186469998</v>
      </c>
    </row>
    <row r="27" spans="2:14" ht="15" customHeight="1" x14ac:dyDescent="0.25">
      <c r="B27" s="75" t="s">
        <v>474</v>
      </c>
      <c r="D27" s="14">
        <f t="shared" ref="D27:M27" si="7">D24*D25</f>
        <v>0.38</v>
      </c>
      <c r="E27" s="14">
        <f t="shared" si="7"/>
        <v>0.6126416009493556</v>
      </c>
      <c r="F27" s="14">
        <f t="shared" si="7"/>
        <v>1.1065498767731858</v>
      </c>
      <c r="G27" s="14">
        <f t="shared" si="7"/>
        <v>1.9949999999999997</v>
      </c>
      <c r="H27" s="14">
        <f t="shared" si="7"/>
        <v>2.9259999999999997</v>
      </c>
      <c r="I27" s="14">
        <f t="shared" si="7"/>
        <v>3.9899999999999993</v>
      </c>
      <c r="J27" s="14">
        <f t="shared" si="7"/>
        <v>5.0539999999999994</v>
      </c>
      <c r="K27" s="14">
        <f t="shared" si="7"/>
        <v>5.5859999999999994</v>
      </c>
      <c r="L27" s="14">
        <f t="shared" si="7"/>
        <v>6.3839999999999986</v>
      </c>
      <c r="M27" s="14">
        <f t="shared" si="7"/>
        <v>6.9159999999999986</v>
      </c>
    </row>
    <row r="28" spans="2:14" ht="15" customHeight="1" x14ac:dyDescent="0.25">
      <c r="B28" s="78" t="s">
        <v>475</v>
      </c>
      <c r="D28" s="13">
        <f t="shared" ref="D28:M28" si="8">IF(D23=0,0,1-D24/D23)</f>
        <v>0.96666666666666667</v>
      </c>
      <c r="E28" s="13">
        <f t="shared" si="8"/>
        <v>0.97007217256149192</v>
      </c>
      <c r="F28" s="13">
        <f t="shared" si="8"/>
        <v>0.97155915808437998</v>
      </c>
      <c r="G28" s="13">
        <f t="shared" si="8"/>
        <v>0.97211133244886416</v>
      </c>
      <c r="H28" s="13">
        <f t="shared" si="8"/>
        <v>0.97211133244886416</v>
      </c>
      <c r="I28" s="13">
        <f t="shared" si="8"/>
        <v>0.97211133244886416</v>
      </c>
      <c r="J28" s="13">
        <f t="shared" si="8"/>
        <v>0.97211133244886416</v>
      </c>
      <c r="K28" s="13">
        <f t="shared" si="8"/>
        <v>0.97211133244886416</v>
      </c>
      <c r="L28" s="13">
        <f t="shared" si="8"/>
        <v>0.97211133244886416</v>
      </c>
      <c r="M28" s="13">
        <f t="shared" si="8"/>
        <v>0.97211133244886416</v>
      </c>
    </row>
    <row r="30" spans="2:14" ht="21.75" customHeight="1" x14ac:dyDescent="0.25">
      <c r="B30" s="110" t="s">
        <v>512</v>
      </c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</row>
    <row r="31" spans="2:14" ht="15" customHeight="1" x14ac:dyDescent="0.25">
      <c r="B31" s="41" t="s">
        <v>64</v>
      </c>
      <c r="D31" s="43">
        <f t="shared" ref="D31:M31" si="9">D10+D18+D26</f>
        <v>30.4</v>
      </c>
      <c r="E31" s="43">
        <f t="shared" si="9"/>
        <v>58.714172842825704</v>
      </c>
      <c r="F31" s="43">
        <f t="shared" si="9"/>
        <v>111.51663186779518</v>
      </c>
      <c r="G31" s="43">
        <f t="shared" si="9"/>
        <v>206.25388353955617</v>
      </c>
      <c r="H31" s="43">
        <f t="shared" si="9"/>
        <v>298.85496147797176</v>
      </c>
      <c r="I31" s="43">
        <f t="shared" si="9"/>
        <v>416.48936120866279</v>
      </c>
      <c r="J31" s="43">
        <f t="shared" si="9"/>
        <v>537.30306904018323</v>
      </c>
      <c r="K31" s="43">
        <f t="shared" si="9"/>
        <v>610.42715535926152</v>
      </c>
      <c r="L31" s="43">
        <f t="shared" si="9"/>
        <v>693.08916598082806</v>
      </c>
      <c r="M31" s="43">
        <f t="shared" si="9"/>
        <v>756.67532799741787</v>
      </c>
    </row>
    <row r="32" spans="2:14" ht="15" customHeight="1" x14ac:dyDescent="0.25">
      <c r="B32" s="41" t="s">
        <v>479</v>
      </c>
      <c r="D32" s="43">
        <f t="shared" ref="D32:M32" si="10">D11+D19+D27</f>
        <v>2.09</v>
      </c>
      <c r="E32" s="43">
        <f t="shared" si="10"/>
        <v>3.8881649035387338</v>
      </c>
      <c r="F32" s="43">
        <f t="shared" si="10"/>
        <v>7.0015969440455832</v>
      </c>
      <c r="G32" s="43">
        <f t="shared" si="10"/>
        <v>12.519010330407411</v>
      </c>
      <c r="H32" s="43">
        <f t="shared" si="10"/>
        <v>17.722249999999999</v>
      </c>
      <c r="I32" s="43">
        <f t="shared" si="10"/>
        <v>23.806999999999999</v>
      </c>
      <c r="J32" s="43">
        <f t="shared" si="10"/>
        <v>30.323999999999995</v>
      </c>
      <c r="K32" s="43">
        <f t="shared" si="10"/>
        <v>34.347250000000003</v>
      </c>
      <c r="L32" s="43">
        <f t="shared" si="10"/>
        <v>38.636499999999998</v>
      </c>
      <c r="M32" s="43">
        <f t="shared" si="10"/>
        <v>42.327249999999992</v>
      </c>
    </row>
    <row r="33" spans="2:13" ht="15" customHeight="1" x14ac:dyDescent="0.25">
      <c r="B33" s="41" t="s">
        <v>480</v>
      </c>
      <c r="D33" s="79">
        <f t="shared" ref="D33:M33" si="11">D9+D17+D25</f>
        <v>5</v>
      </c>
      <c r="E33" s="79">
        <f t="shared" si="11"/>
        <v>11</v>
      </c>
      <c r="F33" s="79">
        <f t="shared" si="11"/>
        <v>22</v>
      </c>
      <c r="G33" s="79">
        <f t="shared" si="11"/>
        <v>41</v>
      </c>
      <c r="H33" s="79">
        <f t="shared" si="11"/>
        <v>59</v>
      </c>
      <c r="I33" s="79">
        <f t="shared" si="11"/>
        <v>80</v>
      </c>
      <c r="J33" s="79">
        <f t="shared" si="11"/>
        <v>102</v>
      </c>
      <c r="K33" s="79">
        <f t="shared" si="11"/>
        <v>115</v>
      </c>
      <c r="L33" s="79">
        <f t="shared" si="11"/>
        <v>130</v>
      </c>
      <c r="M33" s="79">
        <f t="shared" si="11"/>
        <v>142</v>
      </c>
    </row>
    <row r="34" spans="2:13" ht="15" customHeight="1" x14ac:dyDescent="0.25">
      <c r="B34" s="41" t="s">
        <v>481</v>
      </c>
      <c r="D34" s="43">
        <f t="shared" ref="D34:M34" si="12">D31-D32</f>
        <v>28.31</v>
      </c>
      <c r="E34" s="43">
        <f t="shared" si="12"/>
        <v>54.826007939286967</v>
      </c>
      <c r="F34" s="43">
        <f t="shared" si="12"/>
        <v>104.5150349237496</v>
      </c>
      <c r="G34" s="43">
        <f t="shared" si="12"/>
        <v>193.73487320914876</v>
      </c>
      <c r="H34" s="43">
        <f t="shared" si="12"/>
        <v>281.13271147797178</v>
      </c>
      <c r="I34" s="43">
        <f t="shared" si="12"/>
        <v>392.68236120866277</v>
      </c>
      <c r="J34" s="43">
        <f t="shared" si="12"/>
        <v>506.97906904018322</v>
      </c>
      <c r="K34" s="43">
        <f t="shared" si="12"/>
        <v>576.07990535926149</v>
      </c>
      <c r="L34" s="43">
        <f t="shared" si="12"/>
        <v>654.4526659808281</v>
      </c>
      <c r="M34" s="43">
        <f t="shared" si="12"/>
        <v>714.34807799741793</v>
      </c>
    </row>
    <row r="35" spans="2:13" ht="15" customHeight="1" x14ac:dyDescent="0.25">
      <c r="B35" s="41" t="s">
        <v>67</v>
      </c>
      <c r="D35" s="80">
        <f t="shared" ref="D35:M35" si="13">IFERROR((D31-D32)/D31,0)</f>
        <v>0.93125000000000002</v>
      </c>
      <c r="E35" s="80">
        <f t="shared" si="13"/>
        <v>0.93377808601771295</v>
      </c>
      <c r="F35" s="80">
        <f t="shared" si="13"/>
        <v>0.93721477391510444</v>
      </c>
      <c r="G35" s="80">
        <f t="shared" si="13"/>
        <v>0.9393029109776424</v>
      </c>
      <c r="H35" s="80">
        <f t="shared" si="13"/>
        <v>0.9406994954597524</v>
      </c>
      <c r="I35" s="80">
        <f t="shared" si="13"/>
        <v>0.94283887604977112</v>
      </c>
      <c r="J35" s="80">
        <f t="shared" si="13"/>
        <v>0.94356257809178423</v>
      </c>
      <c r="K35" s="80">
        <f t="shared" si="13"/>
        <v>0.94373243441343091</v>
      </c>
      <c r="L35" s="80">
        <f t="shared" si="13"/>
        <v>0.94425464731464481</v>
      </c>
      <c r="M35" s="80">
        <f t="shared" si="13"/>
        <v>0.94406154339401904</v>
      </c>
    </row>
    <row r="36" spans="2:13" ht="15" customHeight="1" x14ac:dyDescent="0.25">
      <c r="B36" s="42" t="s">
        <v>482</v>
      </c>
      <c r="D36" s="14">
        <f>D31</f>
        <v>30.4</v>
      </c>
      <c r="E36" s="14">
        <f t="shared" ref="E36:M36" si="14">D36+E31</f>
        <v>89.114172842825695</v>
      </c>
      <c r="F36" s="14">
        <f t="shared" si="14"/>
        <v>200.63080471062088</v>
      </c>
      <c r="G36" s="14">
        <f t="shared" si="14"/>
        <v>406.88468825017708</v>
      </c>
      <c r="H36" s="14">
        <f t="shared" si="14"/>
        <v>705.73964972814883</v>
      </c>
      <c r="I36" s="14">
        <f t="shared" si="14"/>
        <v>1122.2290109368116</v>
      </c>
      <c r="J36" s="14">
        <f t="shared" si="14"/>
        <v>1659.5320799769947</v>
      </c>
      <c r="K36" s="14">
        <f t="shared" si="14"/>
        <v>2269.9592353362564</v>
      </c>
      <c r="L36" s="14">
        <f t="shared" si="14"/>
        <v>2963.0484013170844</v>
      </c>
      <c r="M36" s="14">
        <f t="shared" si="14"/>
        <v>3719.7237293145022</v>
      </c>
    </row>
  </sheetData>
  <mergeCells count="7">
    <mergeCell ref="B22:M22"/>
    <mergeCell ref="B30:N30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N35"/>
  <sheetViews>
    <sheetView showGridLines="0" zoomScaleNormal="100" workbookViewId="0">
      <pane xSplit="3" ySplit="4" topLeftCell="D14" activePane="bottomRight" state="frozen"/>
      <selection pane="topRight" activeCell="D1" sqref="D1"/>
      <selection pane="bottomLeft" activeCell="A14" sqref="A14"/>
      <selection pane="bottomRight" activeCell="D7" sqref="D7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22" customWidth="1"/>
    <col min="4" max="13" width="13" customWidth="1"/>
  </cols>
  <sheetData>
    <row r="1" spans="2:14" ht="31.5" customHeight="1" x14ac:dyDescent="0.25">
      <c r="B1" s="124" t="s">
        <v>513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</row>
    <row r="2" spans="2:14" ht="24" customHeight="1" x14ac:dyDescent="0.25">
      <c r="B2" s="108" t="s">
        <v>514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2:14" ht="15" customHeight="1" x14ac:dyDescent="0.25">
      <c r="B3" t="s">
        <v>515</v>
      </c>
    </row>
    <row r="4" spans="2:14" ht="15" customHeight="1" x14ac:dyDescent="0.25">
      <c r="B4" s="9" t="s">
        <v>18</v>
      </c>
      <c r="C4" s="9" t="s">
        <v>516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  <c r="N4" t="s">
        <v>517</v>
      </c>
    </row>
    <row r="5" spans="2:14" ht="21.75" customHeight="1" x14ac:dyDescent="0.25">
      <c r="B5" s="110" t="s">
        <v>518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</row>
    <row r="6" spans="2:14" ht="15" customHeight="1" x14ac:dyDescent="0.25">
      <c r="B6" s="56" t="s">
        <v>303</v>
      </c>
      <c r="C6" s="42" t="s">
        <v>519</v>
      </c>
      <c r="D6" s="12">
        <f>Backlog!D89</f>
        <v>0</v>
      </c>
      <c r="E6" s="12">
        <f>Backlog!E89</f>
        <v>50</v>
      </c>
      <c r="F6" s="12">
        <f>Backlog!F89</f>
        <v>125</v>
      </c>
      <c r="G6" s="12">
        <f>Backlog!G89</f>
        <v>206.05015000000003</v>
      </c>
      <c r="H6" s="12">
        <f>Backlog!H89</f>
        <v>328.29602499999999</v>
      </c>
      <c r="I6" s="12">
        <f>Backlog!I89</f>
        <v>452.63901249999998</v>
      </c>
      <c r="J6" s="12">
        <f>Backlog!J89</f>
        <v>565.62770624999996</v>
      </c>
      <c r="K6" s="12">
        <f>Backlog!K89</f>
        <v>677.77455312500001</v>
      </c>
      <c r="L6" s="12">
        <f>Backlog!L89</f>
        <v>774.05507656249995</v>
      </c>
      <c r="M6" s="12">
        <f>Backlog!M89</f>
        <v>865.11598828125011</v>
      </c>
    </row>
    <row r="7" spans="2:14" ht="15" customHeight="1" x14ac:dyDescent="0.25">
      <c r="B7" s="56" t="s">
        <v>304</v>
      </c>
      <c r="C7" s="42" t="s">
        <v>519</v>
      </c>
      <c r="D7" s="12">
        <f>Backlog!D90</f>
        <v>52.5</v>
      </c>
      <c r="E7" s="12">
        <f>Backlog!E90</f>
        <v>144.28749999999999</v>
      </c>
      <c r="F7" s="12">
        <f>Backlog!F90</f>
        <v>265.39899999999994</v>
      </c>
      <c r="G7" s="12">
        <f>Backlog!G90</f>
        <v>337.14244999999994</v>
      </c>
      <c r="H7" s="12">
        <f>Backlog!H90</f>
        <v>430.99717499999991</v>
      </c>
      <c r="I7" s="12">
        <f>Backlog!I90</f>
        <v>538.13128749999987</v>
      </c>
      <c r="J7" s="12">
        <f>Backlog!J90</f>
        <v>596.90129374999992</v>
      </c>
      <c r="K7" s="12">
        <f>Backlog!K90</f>
        <v>681.07374687499998</v>
      </c>
      <c r="L7" s="12">
        <f>Backlog!L90</f>
        <v>731.3246734375</v>
      </c>
      <c r="M7" s="12">
        <f>Backlog!M90</f>
        <v>760.43113671875005</v>
      </c>
    </row>
    <row r="8" spans="2:14" ht="15" customHeight="1" x14ac:dyDescent="0.25">
      <c r="B8" s="60" t="s">
        <v>305</v>
      </c>
      <c r="C8" s="42" t="s">
        <v>519</v>
      </c>
      <c r="D8" s="12">
        <f>Backlog!D91</f>
        <v>0</v>
      </c>
      <c r="E8" s="12">
        <f>Backlog!E91</f>
        <v>0</v>
      </c>
      <c r="F8" s="12">
        <f>Backlog!F91</f>
        <v>24.219657000000002</v>
      </c>
      <c r="G8" s="12">
        <f>Backlog!G91</f>
        <v>106.54833519</v>
      </c>
      <c r="H8" s="12">
        <f>Backlog!H91</f>
        <v>231.59855657730003</v>
      </c>
      <c r="I8" s="12">
        <f>Backlog!I91</f>
        <v>380.95360090679105</v>
      </c>
      <c r="J8" s="12">
        <f>Backlog!J91</f>
        <v>545.24509060755008</v>
      </c>
      <c r="K8" s="12">
        <f>Backlog!K91</f>
        <v>707.92921970705856</v>
      </c>
      <c r="L8" s="12">
        <f>Backlog!L91</f>
        <v>883.48954320372934</v>
      </c>
      <c r="M8" s="12">
        <f>Backlog!M91</f>
        <v>1036.5244879464988</v>
      </c>
    </row>
    <row r="9" spans="2:14" ht="15" customHeight="1" x14ac:dyDescent="0.25">
      <c r="B9" s="56" t="s">
        <v>306</v>
      </c>
      <c r="C9" s="42" t="s">
        <v>519</v>
      </c>
      <c r="D9" s="12">
        <f>Backlog!D92</f>
        <v>0</v>
      </c>
      <c r="E9" s="12">
        <f>Backlog!E92</f>
        <v>0</v>
      </c>
      <c r="F9" s="12">
        <f>Backlog!F92</f>
        <v>33</v>
      </c>
      <c r="G9" s="12">
        <f>Backlog!G92</f>
        <v>104.61</v>
      </c>
      <c r="H9" s="12">
        <f>Backlog!H92</f>
        <v>261.95069999999998</v>
      </c>
      <c r="I9" s="12">
        <f>Backlog!I92</f>
        <v>496.71540599999997</v>
      </c>
      <c r="J9" s="12">
        <f>Backlog!J92</f>
        <v>725.93927802000007</v>
      </c>
      <c r="K9" s="12">
        <f>Backlog!K92</f>
        <v>963.54327827340001</v>
      </c>
      <c r="L9" s="12">
        <f>Backlog!L92</f>
        <v>1173.7987924431779</v>
      </c>
      <c r="M9" s="12">
        <f>Backlog!M92</f>
        <v>1386.2537189369291</v>
      </c>
    </row>
    <row r="10" spans="2:14" ht="15" customHeight="1" x14ac:dyDescent="0.25">
      <c r="B10" s="61" t="s">
        <v>307</v>
      </c>
      <c r="C10" s="42" t="s">
        <v>519</v>
      </c>
      <c r="D10" s="12">
        <f>Backlog!D93</f>
        <v>0</v>
      </c>
      <c r="E10" s="12">
        <f>Backlog!E93</f>
        <v>0</v>
      </c>
      <c r="F10" s="12">
        <f>Backlog!F93</f>
        <v>18.952500000000001</v>
      </c>
      <c r="G10" s="12">
        <f>Backlog!G93</f>
        <v>50.450874999999996</v>
      </c>
      <c r="H10" s="12">
        <f>Backlog!H93</f>
        <v>100.33815625</v>
      </c>
      <c r="I10" s="12">
        <f>Backlog!I93</f>
        <v>158.71214218750001</v>
      </c>
      <c r="J10" s="12">
        <f>Backlog!J93</f>
        <v>225.99743164062497</v>
      </c>
      <c r="K10" s="12">
        <f>Backlog!K93</f>
        <v>326.59582373046874</v>
      </c>
      <c r="L10" s="12">
        <f>Backlog!L93</f>
        <v>438.56246779785153</v>
      </c>
      <c r="M10" s="12">
        <f>Backlog!M93</f>
        <v>549.15185084838856</v>
      </c>
    </row>
    <row r="11" spans="2:14" ht="15" customHeight="1" x14ac:dyDescent="0.25">
      <c r="B11" s="62" t="s">
        <v>308</v>
      </c>
      <c r="C11" s="42" t="s">
        <v>519</v>
      </c>
      <c r="D11" s="12">
        <f>Backlog!D94</f>
        <v>0</v>
      </c>
      <c r="E11" s="12">
        <f>Backlog!E94</f>
        <v>9.1199999999999992</v>
      </c>
      <c r="F11" s="12">
        <f>Backlog!F94</f>
        <v>24.454249999999995</v>
      </c>
      <c r="G11" s="12">
        <f>Backlog!G94</f>
        <v>50.401712499999995</v>
      </c>
      <c r="H11" s="12">
        <f>Backlog!H94</f>
        <v>94.521109374999995</v>
      </c>
      <c r="I11" s="12">
        <f>Backlog!I94</f>
        <v>153.07595703125</v>
      </c>
      <c r="J11" s="12">
        <f>Backlog!J94</f>
        <v>224.1354177734375</v>
      </c>
      <c r="K11" s="12">
        <f>Backlog!K94</f>
        <v>302.4273383300781</v>
      </c>
      <c r="L11" s="12">
        <f>Backlog!L94</f>
        <v>379.4273037475586</v>
      </c>
      <c r="M11" s="12">
        <f>Backlog!M94</f>
        <v>457.84277781066896</v>
      </c>
    </row>
    <row r="12" spans="2:14" ht="15" customHeight="1" x14ac:dyDescent="0.25">
      <c r="B12" s="41" t="s">
        <v>520</v>
      </c>
      <c r="C12" s="81"/>
      <c r="D12" s="43">
        <f t="shared" ref="D12:M12" si="0">SUM(D6:D11)</f>
        <v>52.5</v>
      </c>
      <c r="E12" s="43">
        <f t="shared" si="0"/>
        <v>203.4075</v>
      </c>
      <c r="F12" s="43">
        <f t="shared" si="0"/>
        <v>491.02540699999992</v>
      </c>
      <c r="G12" s="43">
        <f t="shared" si="0"/>
        <v>855.20352269</v>
      </c>
      <c r="H12" s="43">
        <f t="shared" si="0"/>
        <v>1447.7017222022996</v>
      </c>
      <c r="I12" s="43">
        <f t="shared" si="0"/>
        <v>2180.2274061255407</v>
      </c>
      <c r="J12" s="43">
        <f t="shared" si="0"/>
        <v>2883.8462180416127</v>
      </c>
      <c r="K12" s="43">
        <f t="shared" si="0"/>
        <v>3659.3439600410056</v>
      </c>
      <c r="L12" s="43">
        <f t="shared" si="0"/>
        <v>4380.6578571923174</v>
      </c>
      <c r="M12" s="43">
        <f t="shared" si="0"/>
        <v>5055.3199605424852</v>
      </c>
    </row>
    <row r="14" spans="2:14" ht="21.75" customHeight="1" x14ac:dyDescent="0.25">
      <c r="B14" s="110" t="s">
        <v>521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</row>
    <row r="15" spans="2:14" ht="15" customHeight="1" x14ac:dyDescent="0.25">
      <c r="B15" s="42" t="s">
        <v>522</v>
      </c>
      <c r="D15" s="13">
        <f t="shared" ref="D15:M15" si="1">IFERROR(D6/D12,0)</f>
        <v>0</v>
      </c>
      <c r="E15" s="13">
        <f t="shared" si="1"/>
        <v>0.2458119784177083</v>
      </c>
      <c r="F15" s="13">
        <f t="shared" si="1"/>
        <v>0.2545693119297186</v>
      </c>
      <c r="G15" s="13">
        <f t="shared" si="1"/>
        <v>0.24093697527330052</v>
      </c>
      <c r="H15" s="13">
        <f t="shared" si="1"/>
        <v>0.22677048729387669</v>
      </c>
      <c r="I15" s="13">
        <f t="shared" si="1"/>
        <v>0.20761091766311662</v>
      </c>
      <c r="J15" s="13">
        <f t="shared" si="1"/>
        <v>0.19613657022048539</v>
      </c>
      <c r="K15" s="13">
        <f t="shared" si="1"/>
        <v>0.18521750360887229</v>
      </c>
      <c r="L15" s="13">
        <f t="shared" si="1"/>
        <v>0.17669836398924177</v>
      </c>
      <c r="M15" s="13">
        <f t="shared" si="1"/>
        <v>0.17112981869270541</v>
      </c>
    </row>
    <row r="16" spans="2:14" ht="15" customHeight="1" x14ac:dyDescent="0.25">
      <c r="B16" s="42" t="s">
        <v>523</v>
      </c>
      <c r="D16" s="13">
        <f t="shared" ref="D16:M16" si="2">IFERROR(D7/D12,0)</f>
        <v>1</v>
      </c>
      <c r="E16" s="13">
        <f t="shared" si="2"/>
        <v>0.70935191671890174</v>
      </c>
      <c r="F16" s="13">
        <f t="shared" si="2"/>
        <v>0.54049952653468292</v>
      </c>
      <c r="G16" s="13">
        <f t="shared" si="2"/>
        <v>0.39422481439217555</v>
      </c>
      <c r="H16" s="13">
        <f t="shared" si="2"/>
        <v>0.29771130916688449</v>
      </c>
      <c r="I16" s="13">
        <f t="shared" si="2"/>
        <v>0.24682346712460942</v>
      </c>
      <c r="J16" s="13">
        <f t="shared" si="2"/>
        <v>0.2069809721529981</v>
      </c>
      <c r="K16" s="13">
        <f t="shared" si="2"/>
        <v>0.18611908427087789</v>
      </c>
      <c r="L16" s="13">
        <f t="shared" si="2"/>
        <v>0.16694402924820653</v>
      </c>
      <c r="M16" s="13">
        <f t="shared" si="2"/>
        <v>0.15042195996574437</v>
      </c>
    </row>
    <row r="17" spans="2:14" ht="15" customHeight="1" x14ac:dyDescent="0.25">
      <c r="B17" s="42" t="s">
        <v>524</v>
      </c>
      <c r="D17" s="13">
        <f t="shared" ref="D17:M17" si="3">IFERROR(D8/D12,0)</f>
        <v>0</v>
      </c>
      <c r="E17" s="13">
        <f t="shared" si="3"/>
        <v>0</v>
      </c>
      <c r="F17" s="13">
        <f t="shared" si="3"/>
        <v>4.9324651341310338E-2</v>
      </c>
      <c r="G17" s="13">
        <f t="shared" si="3"/>
        <v>0.12458827912080803</v>
      </c>
      <c r="H17" s="13">
        <f t="shared" si="3"/>
        <v>0.15997670861714758</v>
      </c>
      <c r="I17" s="13">
        <f t="shared" si="3"/>
        <v>0.17473113118221906</v>
      </c>
      <c r="J17" s="13">
        <f t="shared" si="3"/>
        <v>0.18906871219291985</v>
      </c>
      <c r="K17" s="13">
        <f t="shared" si="3"/>
        <v>0.19345796061737955</v>
      </c>
      <c r="L17" s="13">
        <f t="shared" si="3"/>
        <v>0.20167964995330218</v>
      </c>
      <c r="M17" s="13">
        <f t="shared" si="3"/>
        <v>0.20503637673514727</v>
      </c>
    </row>
    <row r="18" spans="2:14" ht="15" customHeight="1" x14ac:dyDescent="0.25">
      <c r="B18" s="42" t="s">
        <v>525</v>
      </c>
      <c r="D18" s="13">
        <f t="shared" ref="D18:M18" si="4">IFERROR(D9/D12,0)</f>
        <v>0</v>
      </c>
      <c r="E18" s="13">
        <f t="shared" si="4"/>
        <v>0</v>
      </c>
      <c r="F18" s="13">
        <f t="shared" si="4"/>
        <v>6.7206298349445706E-2</v>
      </c>
      <c r="G18" s="13">
        <f t="shared" si="4"/>
        <v>0.12232175993727723</v>
      </c>
      <c r="H18" s="13">
        <f t="shared" si="4"/>
        <v>0.18094245242832929</v>
      </c>
      <c r="I18" s="13">
        <f t="shared" si="4"/>
        <v>0.2278273379210051</v>
      </c>
      <c r="J18" s="13">
        <f t="shared" si="4"/>
        <v>0.25172607106386458</v>
      </c>
      <c r="K18" s="13">
        <f t="shared" si="4"/>
        <v>0.26331038809005614</v>
      </c>
      <c r="L18" s="13">
        <f t="shared" si="4"/>
        <v>0.26795034689047764</v>
      </c>
      <c r="M18" s="13">
        <f t="shared" si="4"/>
        <v>0.2742168111527743</v>
      </c>
    </row>
    <row r="19" spans="2:14" ht="15" customHeight="1" x14ac:dyDescent="0.25">
      <c r="B19" s="42" t="s">
        <v>526</v>
      </c>
      <c r="D19" s="13">
        <f t="shared" ref="D19:M19" si="5">IFERROR(D10/D12,0)</f>
        <v>0</v>
      </c>
      <c r="E19" s="13">
        <f t="shared" si="5"/>
        <v>0</v>
      </c>
      <c r="F19" s="13">
        <f t="shared" si="5"/>
        <v>3.8597799074783931E-2</v>
      </c>
      <c r="G19" s="13">
        <f t="shared" si="5"/>
        <v>5.8992828796248745E-2</v>
      </c>
      <c r="H19" s="13">
        <f t="shared" si="5"/>
        <v>6.930858388243244E-2</v>
      </c>
      <c r="I19" s="13">
        <f t="shared" si="5"/>
        <v>7.2796141238104004E-2</v>
      </c>
      <c r="J19" s="13">
        <f t="shared" si="5"/>
        <v>7.8366672337367993E-2</v>
      </c>
      <c r="K19" s="13">
        <f t="shared" si="5"/>
        <v>8.9249829285468152E-2</v>
      </c>
      <c r="L19" s="13">
        <f t="shared" si="5"/>
        <v>0.10011338070554958</v>
      </c>
      <c r="M19" s="13">
        <f t="shared" si="5"/>
        <v>0.10862850524489041</v>
      </c>
    </row>
    <row r="20" spans="2:14" ht="15" customHeight="1" x14ac:dyDescent="0.25">
      <c r="B20" s="42" t="s">
        <v>527</v>
      </c>
      <c r="D20" s="13">
        <f t="shared" ref="D20:M20" si="6">IFERROR(D11/D12,0)</f>
        <v>0</v>
      </c>
      <c r="E20" s="13">
        <f t="shared" si="6"/>
        <v>4.4836104863389986E-2</v>
      </c>
      <c r="F20" s="13">
        <f t="shared" si="6"/>
        <v>4.9802412770058556E-2</v>
      </c>
      <c r="G20" s="13">
        <f t="shared" si="6"/>
        <v>5.893534248018989E-2</v>
      </c>
      <c r="H20" s="13">
        <f t="shared" si="6"/>
        <v>6.5290458611329719E-2</v>
      </c>
      <c r="I20" s="13">
        <f t="shared" si="6"/>
        <v>7.0211004870945865E-2</v>
      </c>
      <c r="J20" s="13">
        <f t="shared" si="6"/>
        <v>7.7721002032364025E-2</v>
      </c>
      <c r="K20" s="13">
        <f t="shared" si="6"/>
        <v>8.2645234127345923E-2</v>
      </c>
      <c r="L20" s="13">
        <f t="shared" si="6"/>
        <v>8.6614229213222302E-2</v>
      </c>
      <c r="M20" s="13">
        <f t="shared" si="6"/>
        <v>9.0566528208738339E-2</v>
      </c>
    </row>
    <row r="22" spans="2:14" ht="21.75" customHeight="1" x14ac:dyDescent="0.25">
      <c r="B22" s="110" t="s">
        <v>528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</row>
    <row r="23" spans="2:14" ht="15" customHeight="1" x14ac:dyDescent="0.25">
      <c r="B23" s="56" t="s">
        <v>303</v>
      </c>
      <c r="C23" s="42" t="s">
        <v>529</v>
      </c>
      <c r="D23" s="14">
        <f>IFERROR(V1_AESA!D32*(D6/V1_AESA!D31),0)</f>
        <v>0</v>
      </c>
      <c r="E23" s="14">
        <f>IFERROR(V1_AESA!E32*(E6/V1_AESA!E31),0)</f>
        <v>18.91500720674124</v>
      </c>
      <c r="F23" s="14">
        <f>IFERROR(V1_AESA!F32*(F6/V1_AESA!F31),0)</f>
        <v>45.209770906537088</v>
      </c>
      <c r="G23" s="14">
        <f>IFERROR(V1_AESA!G32*(G6/V1_AESA!G31),0)</f>
        <v>73.417960701726173</v>
      </c>
      <c r="H23" s="14">
        <f>IFERROR(V1_AESA!H32*(H6/V1_AESA!H31),0)</f>
        <v>116.01881016402392</v>
      </c>
      <c r="I23" s="14">
        <f>IFERROR(V1_AESA!I32*(I6/V1_AESA!I31),0)</f>
        <v>159.03761549122669</v>
      </c>
      <c r="J23" s="14">
        <f>IFERROR(V1_AESA!J32*(J6/V1_AESA!J31),0)</f>
        <v>197.96409996341143</v>
      </c>
      <c r="K23" s="14">
        <f>IFERROR(V1_AESA!K32*(K6/V1_AESA!K31),0)</f>
        <v>236.59516193803</v>
      </c>
      <c r="L23" s="14">
        <f>IFERROR(V1_AESA!L32*(L6/V1_AESA!L31),0)</f>
        <v>270.69994513109964</v>
      </c>
      <c r="M23" s="14">
        <f>IFERROR(V1_AESA!M32*(M6/V1_AESA!M31),0)</f>
        <v>302.44592787108616</v>
      </c>
    </row>
    <row r="24" spans="2:14" ht="15" customHeight="1" x14ac:dyDescent="0.25">
      <c r="B24" s="56" t="s">
        <v>304</v>
      </c>
      <c r="C24" s="42" t="s">
        <v>529</v>
      </c>
      <c r="D24" s="14">
        <f>IFERROR(V2_EW_SIGINT!D40*(D7/V2_EW_SIGINT!D39),0)</f>
        <v>23.458383233532935</v>
      </c>
      <c r="E24" s="14">
        <f>IFERROR(V2_EW_SIGINT!E40*(E7/V2_EW_SIGINT!E39),0)</f>
        <v>61.249681828678199</v>
      </c>
      <c r="F24" s="14">
        <f>IFERROR(V2_EW_SIGINT!F40*(F7/V2_EW_SIGINT!F39),0)</f>
        <v>107.14122436938712</v>
      </c>
      <c r="G24" s="14">
        <f>IFERROR(V2_EW_SIGINT!G40*(G7/V2_EW_SIGINT!G39),0)</f>
        <v>134.23989753501291</v>
      </c>
      <c r="H24" s="14">
        <f>IFERROR(V2_EW_SIGINT!H40*(H7/V2_EW_SIGINT!H39),0)</f>
        <v>168.58481564229734</v>
      </c>
      <c r="I24" s="14">
        <f>IFERROR(V2_EW_SIGINT!I40*(I7/V2_EW_SIGINT!I39),0)</f>
        <v>208.15369897693739</v>
      </c>
      <c r="J24" s="14">
        <f>IFERROR(V2_EW_SIGINT!J40*(J7/V2_EW_SIGINT!J39),0)</f>
        <v>226.77000280043015</v>
      </c>
      <c r="K24" s="14">
        <f>IFERROR(V2_EW_SIGINT!K40*(K7/V2_EW_SIGINT!K39),0)</f>
        <v>268.04235119577322</v>
      </c>
      <c r="L24" s="14">
        <f>IFERROR(V2_EW_SIGINT!L40*(L7/V2_EW_SIGINT!L39),0)</f>
        <v>283.75044327749941</v>
      </c>
      <c r="M24" s="14">
        <f>IFERROR(V2_EW_SIGINT!M40*(M7/V2_EW_SIGINT!M39),0)</f>
        <v>294.94717700660777</v>
      </c>
    </row>
    <row r="25" spans="2:14" ht="15" customHeight="1" x14ac:dyDescent="0.25">
      <c r="B25" s="60" t="s">
        <v>305</v>
      </c>
      <c r="C25" s="42" t="s">
        <v>529</v>
      </c>
      <c r="D25" s="14">
        <f>IFERROR(V3_CUAS!D32*(D8/V3_CUAS!D31),0)</f>
        <v>0</v>
      </c>
      <c r="E25" s="14">
        <f>IFERROR(V3_CUAS!E32*(E8/V3_CUAS!E31),0)</f>
        <v>0</v>
      </c>
      <c r="F25" s="14">
        <f>IFERROR(V3_CUAS!F32*(F8/V3_CUAS!F31),0)</f>
        <v>11.354906251763357</v>
      </c>
      <c r="G25" s="14">
        <f>IFERROR(V3_CUAS!G32*(G8/V3_CUAS!G31),0)</f>
        <v>48.274412322177035</v>
      </c>
      <c r="H25" s="14">
        <f>IFERROR(V3_CUAS!H32*(H8/V3_CUAS!H31),0)</f>
        <v>104.35137657454065</v>
      </c>
      <c r="I25" s="14">
        <f>IFERROR(V3_CUAS!I32*(I8/V3_CUAS!I31),0)</f>
        <v>170.96978986504317</v>
      </c>
      <c r="J25" s="14">
        <f>IFERROR(V3_CUAS!J32*(J8/V3_CUAS!J31),0)</f>
        <v>243.59919177281077</v>
      </c>
      <c r="K25" s="14">
        <f>IFERROR(V3_CUAS!K32*(K8/V3_CUAS!K31),0)</f>
        <v>315.41674549674133</v>
      </c>
      <c r="L25" s="14">
        <f>IFERROR(V3_CUAS!L32*(L8/V3_CUAS!L31),0)</f>
        <v>396.23561551873701</v>
      </c>
      <c r="M25" s="14">
        <f>IFERROR(V3_CUAS!M32*(M8/V3_CUAS!M31),0)</f>
        <v>463.14627809424718</v>
      </c>
    </row>
    <row r="26" spans="2:14" ht="15" customHeight="1" x14ac:dyDescent="0.25">
      <c r="B26" s="56" t="s">
        <v>306</v>
      </c>
      <c r="C26" s="42" t="s">
        <v>529</v>
      </c>
      <c r="D26" s="14">
        <f>IFERROR(V4_UAS_MALE!D32*(D9/V4_UAS_MALE!D31),0)</f>
        <v>0</v>
      </c>
      <c r="E26" s="14">
        <f>IFERROR(V4_UAS_MALE!E32*(E9/V4_UAS_MALE!E31),0)</f>
        <v>0</v>
      </c>
      <c r="F26" s="14">
        <f>IFERROR(V4_UAS_MALE!F32*(F9/V4_UAS_MALE!F31),0)</f>
        <v>0</v>
      </c>
      <c r="G26" s="14">
        <f>IFERROR(V4_UAS_MALE!G32*(G9/V4_UAS_MALE!G31),0)</f>
        <v>34.640854285714283</v>
      </c>
      <c r="H26" s="14">
        <f>IFERROR(V4_UAS_MALE!H32*(H9/V4_UAS_MALE!H31),0)</f>
        <v>86.100613315678942</v>
      </c>
      <c r="I26" s="14">
        <f>IFERROR(V4_UAS_MALE!I32*(I9/V4_UAS_MALE!I31),0)</f>
        <v>154.33442849371647</v>
      </c>
      <c r="J26" s="14">
        <f>IFERROR(V4_UAS_MALE!J32*(J9/V4_UAS_MALE!J31),0)</f>
        <v>221.4276277754737</v>
      </c>
      <c r="K26" s="14">
        <f>IFERROR(V4_UAS_MALE!K32*(K9/V4_UAS_MALE!K31),0)</f>
        <v>284.64953685485654</v>
      </c>
      <c r="L26" s="14">
        <f>IFERROR(V4_UAS_MALE!L32*(L9/V4_UAS_MALE!L31),0)</f>
        <v>342.81535553467791</v>
      </c>
      <c r="M26" s="14">
        <f>IFERROR(V4_UAS_MALE!M32*(M9/V4_UAS_MALE!M31),0)</f>
        <v>398.70831014508144</v>
      </c>
    </row>
    <row r="27" spans="2:14" ht="15" customHeight="1" x14ac:dyDescent="0.25">
      <c r="B27" s="61" t="s">
        <v>307</v>
      </c>
      <c r="C27" s="42" t="s">
        <v>529</v>
      </c>
      <c r="D27" s="14">
        <f>IFERROR(V5_Autonomous!D32*(D10/V5_Autonomous!D31),0)</f>
        <v>0</v>
      </c>
      <c r="E27" s="14">
        <f>IFERROR(V5_Autonomous!E32*(E10/V5_Autonomous!E31),0)</f>
        <v>0</v>
      </c>
      <c r="F27" s="14">
        <f>IFERROR(V5_Autonomous!F32*(F10/V5_Autonomous!F31),0)</f>
        <v>6.1516656250000006</v>
      </c>
      <c r="G27" s="14">
        <f>IFERROR(V5_Autonomous!G32*(G10/V5_Autonomous!G31),0)</f>
        <v>14.99417449689922</v>
      </c>
      <c r="H27" s="14">
        <f>IFERROR(V5_Autonomous!H32*(H10/V5_Autonomous!H31),0)</f>
        <v>29.218146610543119</v>
      </c>
      <c r="I27" s="14">
        <f>IFERROR(V5_Autonomous!I32*(I10/V5_Autonomous!I31),0)</f>
        <v>43.665321331630992</v>
      </c>
      <c r="J27" s="14">
        <f>IFERROR(V5_Autonomous!J32*(J10/V5_Autonomous!J31),0)</f>
        <v>61.258360344890527</v>
      </c>
      <c r="K27" s="14">
        <f>IFERROR(V5_Autonomous!K32*(K10/V5_Autonomous!K31),0)</f>
        <v>87.898354334727358</v>
      </c>
      <c r="L27" s="14">
        <f>IFERROR(V5_Autonomous!L32*(L10/V5_Autonomous!L31),0)</f>
        <v>117.19107775795524</v>
      </c>
      <c r="M27" s="14">
        <f>IFERROR(V5_Autonomous!M32*(M10/V5_Autonomous!M31),0)</f>
        <v>146.57101610367502</v>
      </c>
    </row>
    <row r="28" spans="2:14" ht="15" customHeight="1" x14ac:dyDescent="0.25">
      <c r="B28" s="62" t="s">
        <v>308</v>
      </c>
      <c r="C28" s="42" t="s">
        <v>529</v>
      </c>
      <c r="D28" s="14">
        <f>IFERROR(V6_MilAI!D32*(D11/V6_MilAI!D31),0)</f>
        <v>0</v>
      </c>
      <c r="E28" s="14">
        <f>IFERROR(V6_MilAI!E32*(E11/V6_MilAI!E31),0)</f>
        <v>0.6039438555184572</v>
      </c>
      <c r="F28" s="14">
        <f>IFERROR(V6_MilAI!F32*(F11/V6_MilAI!F31),0)</f>
        <v>1.5353656149865555</v>
      </c>
      <c r="G28" s="14">
        <f>IFERROR(V6_MilAI!G32*(G11/V6_MilAI!G31),0)</f>
        <v>3.0592372304917719</v>
      </c>
      <c r="H28" s="14">
        <f>IFERROR(V6_MilAI!H32*(H11/V6_MilAI!H31),0)</f>
        <v>5.6051494756414311</v>
      </c>
      <c r="I28" s="14">
        <f>IFERROR(V6_MilAI!I32*(I11/V6_MilAI!I31),0)</f>
        <v>8.7499937536631833</v>
      </c>
      <c r="J28" s="14">
        <f>IFERROR(V6_MilAI!J32*(J11/V6_MilAI!J31),0)</f>
        <v>12.64962513745369</v>
      </c>
      <c r="K28" s="14">
        <f>IFERROR(V6_MilAI!K32*(K11/V6_MilAI!K31),0)</f>
        <v>17.016850094659169</v>
      </c>
      <c r="L28" s="14">
        <f>IFERROR(V6_MilAI!L32*(L11/V6_MilAI!L31),0)</f>
        <v>21.151308865861076</v>
      </c>
      <c r="M28" s="14">
        <f>IFERROR(V6_MilAI!M32*(M11/V6_MilAI!M31),0)</f>
        <v>25.6110183589239</v>
      </c>
    </row>
    <row r="29" spans="2:14" ht="15" customHeight="1" x14ac:dyDescent="0.25">
      <c r="B29" s="41" t="s">
        <v>530</v>
      </c>
      <c r="D29" s="43">
        <f t="shared" ref="D29:M29" si="7">SUM(D23:D28)</f>
        <v>23.458383233532935</v>
      </c>
      <c r="E29" s="43">
        <f t="shared" si="7"/>
        <v>80.768632890937894</v>
      </c>
      <c r="F29" s="43">
        <f t="shared" si="7"/>
        <v>171.39293276767413</v>
      </c>
      <c r="G29" s="43">
        <f t="shared" si="7"/>
        <v>308.62653657202139</v>
      </c>
      <c r="H29" s="43">
        <f t="shared" si="7"/>
        <v>509.87891178272537</v>
      </c>
      <c r="I29" s="43">
        <f t="shared" si="7"/>
        <v>744.91084791221783</v>
      </c>
      <c r="J29" s="43">
        <f t="shared" si="7"/>
        <v>963.66890779447021</v>
      </c>
      <c r="K29" s="43">
        <f t="shared" si="7"/>
        <v>1209.6189999147878</v>
      </c>
      <c r="L29" s="43">
        <f t="shared" si="7"/>
        <v>1431.8437460858304</v>
      </c>
      <c r="M29" s="43">
        <f t="shared" si="7"/>
        <v>1631.4297275796216</v>
      </c>
    </row>
    <row r="31" spans="2:14" ht="21.75" customHeight="1" x14ac:dyDescent="0.25">
      <c r="B31" s="110" t="s">
        <v>531</v>
      </c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</row>
    <row r="32" spans="2:14" ht="15" customHeight="1" x14ac:dyDescent="0.25">
      <c r="B32" s="41" t="s">
        <v>532</v>
      </c>
      <c r="D32" s="43">
        <f t="shared" ref="D32:M32" si="8">D12-D29</f>
        <v>29.041616766467065</v>
      </c>
      <c r="E32" s="43">
        <f t="shared" si="8"/>
        <v>122.6388671090621</v>
      </c>
      <c r="F32" s="43">
        <f t="shared" si="8"/>
        <v>319.63247423232576</v>
      </c>
      <c r="G32" s="43">
        <f t="shared" si="8"/>
        <v>546.57698611797855</v>
      </c>
      <c r="H32" s="43">
        <f t="shared" si="8"/>
        <v>937.82281041957424</v>
      </c>
      <c r="I32" s="43">
        <f t="shared" si="8"/>
        <v>1435.3165582133229</v>
      </c>
      <c r="J32" s="43">
        <f t="shared" si="8"/>
        <v>1920.1773102471425</v>
      </c>
      <c r="K32" s="43">
        <f t="shared" si="8"/>
        <v>2449.7249601262179</v>
      </c>
      <c r="L32" s="43">
        <f t="shared" si="8"/>
        <v>2948.814111106487</v>
      </c>
      <c r="M32" s="43">
        <f t="shared" si="8"/>
        <v>3423.8902329628636</v>
      </c>
    </row>
    <row r="33" spans="2:13" ht="15" customHeight="1" x14ac:dyDescent="0.25">
      <c r="B33" s="41" t="s">
        <v>67</v>
      </c>
      <c r="D33" s="80">
        <f t="shared" ref="D33:M33" si="9">IFERROR((D12-D29)/D12,0)</f>
        <v>0.55317365269461072</v>
      </c>
      <c r="E33" s="80">
        <f t="shared" si="9"/>
        <v>0.60292205109969943</v>
      </c>
      <c r="F33" s="80">
        <f t="shared" si="9"/>
        <v>0.65094895228573335</v>
      </c>
      <c r="G33" s="80">
        <f t="shared" si="9"/>
        <v>0.63911919398875716</v>
      </c>
      <c r="H33" s="80">
        <f t="shared" si="9"/>
        <v>0.64780112922220057</v>
      </c>
      <c r="I33" s="80">
        <f t="shared" si="9"/>
        <v>0.65833341704662307</v>
      </c>
      <c r="J33" s="80">
        <f t="shared" si="9"/>
        <v>0.66583900980375899</v>
      </c>
      <c r="K33" s="80">
        <f t="shared" si="9"/>
        <v>0.66944375463922412</v>
      </c>
      <c r="L33" s="80">
        <f t="shared" si="9"/>
        <v>0.67314412748875618</v>
      </c>
      <c r="M33" s="80">
        <f t="shared" si="9"/>
        <v>0.67728457539519349</v>
      </c>
    </row>
    <row r="34" spans="2:13" ht="15" customHeight="1" x14ac:dyDescent="0.25">
      <c r="B34" t="s">
        <v>533</v>
      </c>
    </row>
    <row r="35" spans="2:13" ht="15" customHeight="1" x14ac:dyDescent="0.25">
      <c r="B35" t="s">
        <v>534</v>
      </c>
    </row>
  </sheetData>
  <mergeCells count="6">
    <mergeCell ref="B31:N31"/>
    <mergeCell ref="B1:M1"/>
    <mergeCell ref="B2:N2"/>
    <mergeCell ref="B5:N5"/>
    <mergeCell ref="B14:N14"/>
    <mergeCell ref="B22:N22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2:M102"/>
  <sheetViews>
    <sheetView showGridLines="0" zoomScaleNormal="100" workbookViewId="0">
      <pane xSplit="3" ySplit="4" topLeftCell="D62" activePane="bottomRight" state="frozen"/>
      <selection pane="topRight" activeCell="D1" sqref="D1"/>
      <selection pane="bottomLeft" activeCell="A5" sqref="A5"/>
      <selection pane="bottomRight" activeCell="P17" sqref="P17"/>
    </sheetView>
  </sheetViews>
  <sheetFormatPr defaultColWidth="8.7109375" defaultRowHeight="15" x14ac:dyDescent="0.25"/>
  <cols>
    <col min="1" max="1" width="1.5703125" customWidth="1"/>
    <col min="2" max="2" width="36" customWidth="1"/>
    <col min="3" max="3" width="14" customWidth="1"/>
    <col min="4" max="13" width="13" customWidth="1"/>
  </cols>
  <sheetData>
    <row r="2" spans="2:13" ht="24" customHeight="1" x14ac:dyDescent="0.25">
      <c r="B2" s="108" t="s">
        <v>535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</row>
    <row r="3" spans="2:13" ht="30" customHeight="1" x14ac:dyDescent="0.25">
      <c r="B3" s="128" t="s">
        <v>932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</row>
    <row r="4" spans="2:13" ht="15" customHeight="1" x14ac:dyDescent="0.25">
      <c r="B4" s="9" t="s">
        <v>170</v>
      </c>
      <c r="C4" s="9" t="s">
        <v>536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3" ht="21.75" customHeight="1" x14ac:dyDescent="0.25">
      <c r="B5" s="110" t="s">
        <v>537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</row>
    <row r="6" spans="2:13" ht="15" customHeight="1" x14ac:dyDescent="0.25">
      <c r="B6" s="75" t="s">
        <v>538</v>
      </c>
      <c r="C6" s="82">
        <f t="shared" ref="C6:C11" si="0">AVERAGE(D6:M6)</f>
        <v>1.2050000000000001</v>
      </c>
      <c r="D6" s="83">
        <v>1.5</v>
      </c>
      <c r="E6" s="83">
        <v>1.5</v>
      </c>
      <c r="F6" s="83">
        <v>1.4</v>
      </c>
      <c r="G6" s="83">
        <v>1.3</v>
      </c>
      <c r="H6" s="83">
        <v>1.2</v>
      </c>
      <c r="I6" s="83">
        <v>1.1000000000000001</v>
      </c>
      <c r="J6" s="83">
        <v>1.05</v>
      </c>
      <c r="K6" s="83">
        <v>1</v>
      </c>
      <c r="L6" s="83">
        <v>1</v>
      </c>
      <c r="M6" s="83">
        <v>1</v>
      </c>
    </row>
    <row r="7" spans="2:13" ht="15" customHeight="1" x14ac:dyDescent="0.25">
      <c r="B7" s="75" t="s">
        <v>539</v>
      </c>
      <c r="C7" s="82">
        <f t="shared" si="0"/>
        <v>1.03</v>
      </c>
      <c r="D7" s="83">
        <v>1.1000000000000001</v>
      </c>
      <c r="E7" s="83">
        <v>1.1000000000000001</v>
      </c>
      <c r="F7" s="83">
        <v>1.05</v>
      </c>
      <c r="G7" s="83">
        <v>1.05</v>
      </c>
      <c r="H7" s="83">
        <v>1</v>
      </c>
      <c r="I7" s="83">
        <v>1</v>
      </c>
      <c r="J7" s="83">
        <v>1</v>
      </c>
      <c r="K7" s="83">
        <v>1</v>
      </c>
      <c r="L7" s="83">
        <v>1</v>
      </c>
      <c r="M7" s="83">
        <v>1</v>
      </c>
    </row>
    <row r="8" spans="2:13" ht="15" customHeight="1" x14ac:dyDescent="0.25">
      <c r="B8" s="75" t="s">
        <v>540</v>
      </c>
      <c r="C8" s="82">
        <f t="shared" si="0"/>
        <v>1.155</v>
      </c>
      <c r="D8" s="83">
        <v>1.5</v>
      </c>
      <c r="E8" s="83">
        <v>1.4</v>
      </c>
      <c r="F8" s="83">
        <v>1.3</v>
      </c>
      <c r="G8" s="83">
        <v>1.2</v>
      </c>
      <c r="H8" s="83">
        <v>1.1000000000000001</v>
      </c>
      <c r="I8" s="83">
        <v>1.05</v>
      </c>
      <c r="J8" s="83">
        <v>1</v>
      </c>
      <c r="K8" s="83">
        <v>1</v>
      </c>
      <c r="L8" s="83">
        <v>1</v>
      </c>
      <c r="M8" s="83">
        <v>1</v>
      </c>
    </row>
    <row r="9" spans="2:13" ht="15" customHeight="1" x14ac:dyDescent="0.25">
      <c r="B9" s="75" t="s">
        <v>541</v>
      </c>
      <c r="C9" s="82">
        <f t="shared" si="0"/>
        <v>1.6450000000000002</v>
      </c>
      <c r="D9" s="83">
        <v>3</v>
      </c>
      <c r="E9" s="83">
        <v>2.5</v>
      </c>
      <c r="F9" s="83">
        <v>2</v>
      </c>
      <c r="G9" s="83">
        <v>1.8</v>
      </c>
      <c r="H9" s="83">
        <v>1.5</v>
      </c>
      <c r="I9" s="83">
        <v>1.3</v>
      </c>
      <c r="J9" s="83">
        <v>1.2</v>
      </c>
      <c r="K9" s="83">
        <v>1.1000000000000001</v>
      </c>
      <c r="L9" s="83">
        <v>1.05</v>
      </c>
      <c r="M9" s="83">
        <v>1</v>
      </c>
    </row>
    <row r="10" spans="2:13" ht="15" customHeight="1" x14ac:dyDescent="0.25">
      <c r="B10" s="75" t="s">
        <v>542</v>
      </c>
      <c r="C10" s="82">
        <f t="shared" si="0"/>
        <v>1.2450000000000001</v>
      </c>
      <c r="D10" s="83">
        <v>1.8</v>
      </c>
      <c r="E10" s="83">
        <v>1.6</v>
      </c>
      <c r="F10" s="83">
        <v>1.4</v>
      </c>
      <c r="G10" s="83">
        <v>1.3</v>
      </c>
      <c r="H10" s="83">
        <v>1.2</v>
      </c>
      <c r="I10" s="83">
        <v>1.1000000000000001</v>
      </c>
      <c r="J10" s="83">
        <v>1.05</v>
      </c>
      <c r="K10" s="83">
        <v>1</v>
      </c>
      <c r="L10" s="83">
        <v>1</v>
      </c>
      <c r="M10" s="83">
        <v>1</v>
      </c>
    </row>
    <row r="11" spans="2:13" ht="15" customHeight="1" x14ac:dyDescent="0.25">
      <c r="B11" s="75" t="s">
        <v>543</v>
      </c>
      <c r="C11" s="82">
        <f t="shared" si="0"/>
        <v>1.08</v>
      </c>
      <c r="D11" s="83">
        <v>1.2</v>
      </c>
      <c r="E11" s="83">
        <v>1.2</v>
      </c>
      <c r="F11" s="83">
        <v>1.1499999999999999</v>
      </c>
      <c r="G11" s="83">
        <v>1.1000000000000001</v>
      </c>
      <c r="H11" s="83">
        <v>1.1000000000000001</v>
      </c>
      <c r="I11" s="83">
        <v>1.05</v>
      </c>
      <c r="J11" s="83">
        <v>1</v>
      </c>
      <c r="K11" s="83">
        <v>1</v>
      </c>
      <c r="L11" s="83">
        <v>1</v>
      </c>
      <c r="M11" s="83">
        <v>1</v>
      </c>
    </row>
    <row r="12" spans="2:13" ht="21.75" customHeight="1" x14ac:dyDescent="0.25">
      <c r="B12" s="110" t="s">
        <v>544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</row>
    <row r="13" spans="2:13" ht="15" customHeight="1" x14ac:dyDescent="0.25">
      <c r="B13" s="75" t="s">
        <v>545</v>
      </c>
      <c r="C13" s="84">
        <f t="shared" ref="C13:C18" si="1">AVERAGE(D13:M13)</f>
        <v>0.32500000000000007</v>
      </c>
      <c r="D13" s="85">
        <v>0.25</v>
      </c>
      <c r="E13" s="85">
        <v>0.28000000000000003</v>
      </c>
      <c r="F13" s="85">
        <v>0.3</v>
      </c>
      <c r="G13" s="85">
        <v>0.32</v>
      </c>
      <c r="H13" s="85">
        <v>0.35</v>
      </c>
      <c r="I13" s="85">
        <v>0.35</v>
      </c>
      <c r="J13" s="85">
        <v>0.35</v>
      </c>
      <c r="K13" s="85">
        <v>0.35</v>
      </c>
      <c r="L13" s="85">
        <v>0.35</v>
      </c>
      <c r="M13" s="85">
        <v>0.35</v>
      </c>
    </row>
    <row r="14" spans="2:13" ht="15" customHeight="1" x14ac:dyDescent="0.25">
      <c r="B14" s="75" t="s">
        <v>546</v>
      </c>
      <c r="C14" s="84">
        <f t="shared" si="1"/>
        <v>0.39999999999999997</v>
      </c>
      <c r="D14" s="85">
        <v>0.4</v>
      </c>
      <c r="E14" s="85">
        <v>0.4</v>
      </c>
      <c r="F14" s="85">
        <v>0.4</v>
      </c>
      <c r="G14" s="85">
        <v>0.4</v>
      </c>
      <c r="H14" s="85">
        <v>0.4</v>
      </c>
      <c r="I14" s="85">
        <v>0.4</v>
      </c>
      <c r="J14" s="85">
        <v>0.4</v>
      </c>
      <c r="K14" s="85">
        <v>0.4</v>
      </c>
      <c r="L14" s="85">
        <v>0.4</v>
      </c>
      <c r="M14" s="85">
        <v>0.4</v>
      </c>
    </row>
    <row r="15" spans="2:13" ht="15" customHeight="1" x14ac:dyDescent="0.25">
      <c r="B15" s="75" t="s">
        <v>547</v>
      </c>
      <c r="C15" s="84">
        <f t="shared" si="1"/>
        <v>0.32500000000000007</v>
      </c>
      <c r="D15" s="85">
        <v>0.25</v>
      </c>
      <c r="E15" s="85">
        <v>0.28000000000000003</v>
      </c>
      <c r="F15" s="85">
        <v>0.3</v>
      </c>
      <c r="G15" s="85">
        <v>0.32</v>
      </c>
      <c r="H15" s="85">
        <v>0.35</v>
      </c>
      <c r="I15" s="85">
        <v>0.35</v>
      </c>
      <c r="J15" s="85">
        <v>0.35</v>
      </c>
      <c r="K15" s="85">
        <v>0.35</v>
      </c>
      <c r="L15" s="85">
        <v>0.35</v>
      </c>
      <c r="M15" s="85">
        <v>0.35</v>
      </c>
    </row>
    <row r="16" spans="2:13" ht="15" customHeight="1" x14ac:dyDescent="0.25">
      <c r="B16" s="75" t="s">
        <v>548</v>
      </c>
      <c r="C16" s="84">
        <f t="shared" si="1"/>
        <v>0.29700000000000004</v>
      </c>
      <c r="D16" s="85">
        <v>0.2</v>
      </c>
      <c r="E16" s="85">
        <v>0.22</v>
      </c>
      <c r="F16" s="85">
        <v>0.25</v>
      </c>
      <c r="G16" s="85">
        <v>0.28000000000000003</v>
      </c>
      <c r="H16" s="85">
        <v>0.3</v>
      </c>
      <c r="I16" s="85">
        <v>0.32</v>
      </c>
      <c r="J16" s="85">
        <v>0.35</v>
      </c>
      <c r="K16" s="85">
        <v>0.35</v>
      </c>
      <c r="L16" s="85">
        <v>0.35</v>
      </c>
      <c r="M16" s="85">
        <v>0.35</v>
      </c>
    </row>
    <row r="17" spans="2:13" ht="15" customHeight="1" x14ac:dyDescent="0.25">
      <c r="B17" s="75" t="s">
        <v>549</v>
      </c>
      <c r="C17" s="84">
        <f t="shared" si="1"/>
        <v>0.31200000000000006</v>
      </c>
      <c r="D17" s="85">
        <v>0.22</v>
      </c>
      <c r="E17" s="85">
        <v>0.25</v>
      </c>
      <c r="F17" s="85">
        <v>0.28000000000000003</v>
      </c>
      <c r="G17" s="85">
        <v>0.3</v>
      </c>
      <c r="H17" s="85">
        <v>0.32</v>
      </c>
      <c r="I17" s="85">
        <v>0.35</v>
      </c>
      <c r="J17" s="85">
        <v>0.35</v>
      </c>
      <c r="K17" s="85">
        <v>0.35</v>
      </c>
      <c r="L17" s="85">
        <v>0.35</v>
      </c>
      <c r="M17" s="85">
        <v>0.35</v>
      </c>
    </row>
    <row r="18" spans="2:13" ht="15" customHeight="1" x14ac:dyDescent="0.25">
      <c r="B18" s="75" t="s">
        <v>550</v>
      </c>
      <c r="C18" s="84">
        <f t="shared" si="1"/>
        <v>0.34200000000000003</v>
      </c>
      <c r="D18" s="85">
        <v>0.3</v>
      </c>
      <c r="E18" s="85">
        <v>0.32</v>
      </c>
      <c r="F18" s="85">
        <v>0.35</v>
      </c>
      <c r="G18" s="85">
        <v>0.35</v>
      </c>
      <c r="H18" s="85">
        <v>0.35</v>
      </c>
      <c r="I18" s="85">
        <v>0.35</v>
      </c>
      <c r="J18" s="85">
        <v>0.35</v>
      </c>
      <c r="K18" s="85">
        <v>0.35</v>
      </c>
      <c r="L18" s="85">
        <v>0.35</v>
      </c>
      <c r="M18" s="85">
        <v>0.35</v>
      </c>
    </row>
    <row r="19" spans="2:13" ht="21.75" customHeight="1" x14ac:dyDescent="0.25">
      <c r="B19" s="110" t="s">
        <v>551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</row>
    <row r="20" spans="2:13" ht="15" customHeight="1" x14ac:dyDescent="0.25">
      <c r="B20" s="75" t="s">
        <v>552</v>
      </c>
      <c r="D20" s="14">
        <v>100</v>
      </c>
      <c r="E20" s="14">
        <v>200</v>
      </c>
      <c r="F20" s="14">
        <v>287.1003</v>
      </c>
      <c r="G20" s="14">
        <v>450.5419</v>
      </c>
      <c r="H20" s="14">
        <v>576.98199999999997</v>
      </c>
      <c r="I20" s="14">
        <v>678.6164</v>
      </c>
      <c r="J20" s="14">
        <v>789.92139999999995</v>
      </c>
      <c r="K20" s="14">
        <v>870.3356</v>
      </c>
      <c r="L20" s="14">
        <v>956.17690000000005</v>
      </c>
      <c r="M20" s="14">
        <v>1011.8148</v>
      </c>
    </row>
    <row r="21" spans="2:13" ht="15" customHeight="1" x14ac:dyDescent="0.25">
      <c r="B21" s="75" t="s">
        <v>553</v>
      </c>
      <c r="D21" s="14">
        <v>341.07499999999999</v>
      </c>
      <c r="E21" s="14">
        <v>386.51049999999998</v>
      </c>
      <c r="F21" s="14">
        <v>408.88589999999999</v>
      </c>
      <c r="G21" s="14">
        <v>524.8519</v>
      </c>
      <c r="H21" s="14">
        <v>645.2654</v>
      </c>
      <c r="I21" s="14">
        <v>655.67129999999997</v>
      </c>
      <c r="J21" s="14">
        <v>765.24620000000004</v>
      </c>
      <c r="K21" s="14">
        <v>781.57560000000001</v>
      </c>
      <c r="L21" s="14">
        <v>789.5376</v>
      </c>
      <c r="M21" s="14">
        <v>829.59140000000002</v>
      </c>
    </row>
    <row r="22" spans="2:13" ht="15" customHeight="1" x14ac:dyDescent="0.25">
      <c r="B22" s="75" t="s">
        <v>554</v>
      </c>
      <c r="D22" s="14">
        <v>0</v>
      </c>
      <c r="E22" s="14">
        <v>73.392899999999997</v>
      </c>
      <c r="F22" s="14">
        <v>273.70049999999998</v>
      </c>
      <c r="G22" s="14">
        <v>485.48840000000001</v>
      </c>
      <c r="H22" s="14">
        <v>684.18960000000004</v>
      </c>
      <c r="I22" s="14">
        <v>878.8066</v>
      </c>
      <c r="J22" s="14">
        <v>1038.2273</v>
      </c>
      <c r="K22" s="14">
        <v>1239.9302</v>
      </c>
      <c r="L22" s="14">
        <v>1347.2318</v>
      </c>
      <c r="M22" s="14">
        <v>1494.2747999999999</v>
      </c>
    </row>
    <row r="23" spans="2:13" ht="15" customHeight="1" x14ac:dyDescent="0.25">
      <c r="B23" s="75" t="s">
        <v>555</v>
      </c>
      <c r="D23" s="14">
        <v>0</v>
      </c>
      <c r="E23" s="14">
        <v>100</v>
      </c>
      <c r="F23" s="14">
        <v>250</v>
      </c>
      <c r="G23" s="14">
        <v>581.4</v>
      </c>
      <c r="H23" s="14">
        <v>973.35889999999995</v>
      </c>
      <c r="I23" s="14">
        <v>1191.3332</v>
      </c>
      <c r="J23" s="14">
        <v>1445.9513999999999</v>
      </c>
      <c r="K23" s="14">
        <v>1600.6812</v>
      </c>
      <c r="L23" s="14">
        <v>1817.6016</v>
      </c>
      <c r="M23" s="14">
        <v>1985.6246000000001</v>
      </c>
    </row>
    <row r="24" spans="2:13" ht="15" customHeight="1" x14ac:dyDescent="0.25">
      <c r="B24" s="75" t="s">
        <v>556</v>
      </c>
      <c r="D24" s="14">
        <v>0</v>
      </c>
      <c r="E24" s="14">
        <v>75.81</v>
      </c>
      <c r="F24" s="14">
        <v>144.946</v>
      </c>
      <c r="G24" s="14">
        <v>250</v>
      </c>
      <c r="H24" s="14">
        <v>333.83409999999998</v>
      </c>
      <c r="I24" s="14">
        <v>427.85329999999999</v>
      </c>
      <c r="J24" s="14">
        <v>628.39099999999996</v>
      </c>
      <c r="K24" s="14">
        <v>774.4624</v>
      </c>
      <c r="L24" s="14">
        <v>880.92</v>
      </c>
      <c r="M24" s="14">
        <v>1036.2572</v>
      </c>
    </row>
    <row r="25" spans="2:13" ht="15" customHeight="1" x14ac:dyDescent="0.25">
      <c r="B25" s="75" t="s">
        <v>557</v>
      </c>
      <c r="D25" s="14">
        <v>36.479999999999997</v>
      </c>
      <c r="E25" s="14">
        <v>70.456999999999994</v>
      </c>
      <c r="F25" s="14">
        <v>128.2441</v>
      </c>
      <c r="G25" s="14">
        <v>226.8793</v>
      </c>
      <c r="H25" s="14">
        <v>328.7405</v>
      </c>
      <c r="I25" s="14">
        <v>437.31380000000001</v>
      </c>
      <c r="J25" s="14">
        <v>537.30309999999997</v>
      </c>
      <c r="K25" s="14">
        <v>610.42719999999997</v>
      </c>
      <c r="L25" s="14">
        <v>693.08920000000001</v>
      </c>
      <c r="M25" s="14">
        <v>756.67529999999999</v>
      </c>
    </row>
    <row r="26" spans="2:13" ht="15" customHeight="1" x14ac:dyDescent="0.25">
      <c r="B26" s="41" t="s">
        <v>558</v>
      </c>
      <c r="D26" s="43">
        <f t="shared" ref="D26:M26" si="2">SUM(D20:D25)</f>
        <v>477.55500000000001</v>
      </c>
      <c r="E26" s="43">
        <f t="shared" si="2"/>
        <v>906.17039999999986</v>
      </c>
      <c r="F26" s="43">
        <f t="shared" si="2"/>
        <v>1492.8768</v>
      </c>
      <c r="G26" s="43">
        <f t="shared" si="2"/>
        <v>2519.1615000000002</v>
      </c>
      <c r="H26" s="43">
        <f t="shared" si="2"/>
        <v>3542.3705</v>
      </c>
      <c r="I26" s="43">
        <f t="shared" si="2"/>
        <v>4269.5945999999994</v>
      </c>
      <c r="J26" s="43">
        <f t="shared" si="2"/>
        <v>5205.0403999999999</v>
      </c>
      <c r="K26" s="43">
        <f t="shared" si="2"/>
        <v>5877.4122000000007</v>
      </c>
      <c r="L26" s="43">
        <f t="shared" si="2"/>
        <v>6484.5571</v>
      </c>
      <c r="M26" s="43">
        <f t="shared" si="2"/>
        <v>7114.2380999999996</v>
      </c>
    </row>
    <row r="28" spans="2:13" ht="21.75" customHeight="1" x14ac:dyDescent="0.25">
      <c r="B28" s="110" t="s">
        <v>559</v>
      </c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</row>
    <row r="29" spans="2:13" ht="15" customHeight="1" x14ac:dyDescent="0.25">
      <c r="B29" s="75" t="s">
        <v>560</v>
      </c>
      <c r="D29" s="14">
        <f t="shared" ref="D29:D34" si="3">(D20-D89)</f>
        <v>100</v>
      </c>
      <c r="E29" s="14">
        <f t="shared" ref="E29:M29" si="4">(D29+E20-E89)</f>
        <v>250</v>
      </c>
      <c r="F29" s="14">
        <f t="shared" si="4"/>
        <v>412.10030000000006</v>
      </c>
      <c r="G29" s="14">
        <f t="shared" si="4"/>
        <v>656.59204999999997</v>
      </c>
      <c r="H29" s="14">
        <f t="shared" si="4"/>
        <v>905.27802499999996</v>
      </c>
      <c r="I29" s="14">
        <f t="shared" si="4"/>
        <v>1131.2554124999999</v>
      </c>
      <c r="J29" s="14">
        <f t="shared" si="4"/>
        <v>1355.54910625</v>
      </c>
      <c r="K29" s="14">
        <f t="shared" si="4"/>
        <v>1548.1101531249999</v>
      </c>
      <c r="L29" s="14">
        <f t="shared" si="4"/>
        <v>1730.2319765625002</v>
      </c>
      <c r="M29" s="14">
        <f t="shared" si="4"/>
        <v>1876.9307882812502</v>
      </c>
    </row>
    <row r="30" spans="2:13" ht="15" customHeight="1" x14ac:dyDescent="0.25">
      <c r="B30" s="75" t="s">
        <v>561</v>
      </c>
      <c r="D30" s="14">
        <f t="shared" si="3"/>
        <v>288.57499999999999</v>
      </c>
      <c r="E30" s="14">
        <f t="shared" ref="E30:M30" si="5">(D30+E21-E90)</f>
        <v>530.79799999999989</v>
      </c>
      <c r="F30" s="14">
        <f t="shared" si="5"/>
        <v>674.28489999999988</v>
      </c>
      <c r="G30" s="14">
        <f t="shared" si="5"/>
        <v>861.99434999999983</v>
      </c>
      <c r="H30" s="14">
        <f t="shared" si="5"/>
        <v>1076.2625749999997</v>
      </c>
      <c r="I30" s="14">
        <f t="shared" si="5"/>
        <v>1193.8025874999998</v>
      </c>
      <c r="J30" s="14">
        <f t="shared" si="5"/>
        <v>1362.14749375</v>
      </c>
      <c r="K30" s="14">
        <f t="shared" si="5"/>
        <v>1462.649346875</v>
      </c>
      <c r="L30" s="14">
        <f t="shared" si="5"/>
        <v>1520.8622734375001</v>
      </c>
      <c r="M30" s="14">
        <f t="shared" si="5"/>
        <v>1590.02253671875</v>
      </c>
    </row>
    <row r="31" spans="2:13" ht="15" customHeight="1" x14ac:dyDescent="0.25">
      <c r="B31" s="75" t="s">
        <v>562</v>
      </c>
      <c r="D31" s="14">
        <f t="shared" si="3"/>
        <v>0</v>
      </c>
      <c r="E31" s="14">
        <f t="shared" ref="E31:M31" si="6">(D31+E22-E91)</f>
        <v>73.392899999999997</v>
      </c>
      <c r="F31" s="14">
        <f t="shared" si="6"/>
        <v>322.87374299999999</v>
      </c>
      <c r="G31" s="14">
        <f t="shared" si="6"/>
        <v>701.81380781000007</v>
      </c>
      <c r="H31" s="14">
        <f t="shared" si="6"/>
        <v>1154.4048512327001</v>
      </c>
      <c r="I31" s="14">
        <f t="shared" si="6"/>
        <v>1652.2578503259092</v>
      </c>
      <c r="J31" s="14">
        <f t="shared" si="6"/>
        <v>2145.2400597183591</v>
      </c>
      <c r="K31" s="14">
        <f t="shared" si="6"/>
        <v>2677.2410400113008</v>
      </c>
      <c r="L31" s="14">
        <f t="shared" si="6"/>
        <v>3140.9832968075716</v>
      </c>
      <c r="M31" s="14">
        <f t="shared" si="6"/>
        <v>3598.7336088610728</v>
      </c>
    </row>
    <row r="32" spans="2:13" ht="15" customHeight="1" x14ac:dyDescent="0.25">
      <c r="B32" s="75" t="s">
        <v>563</v>
      </c>
      <c r="D32" s="14">
        <f t="shared" si="3"/>
        <v>0</v>
      </c>
      <c r="E32" s="14">
        <f t="shared" ref="E32:M32" si="7">(D32+E23-E92)</f>
        <v>100</v>
      </c>
      <c r="F32" s="14">
        <f t="shared" si="7"/>
        <v>317</v>
      </c>
      <c r="G32" s="14">
        <f t="shared" si="7"/>
        <v>793.79</v>
      </c>
      <c r="H32" s="14">
        <f t="shared" si="7"/>
        <v>1505.1981999999998</v>
      </c>
      <c r="I32" s="14">
        <f t="shared" si="7"/>
        <v>2199.815994</v>
      </c>
      <c r="J32" s="14">
        <f t="shared" si="7"/>
        <v>2919.8281159799999</v>
      </c>
      <c r="K32" s="14">
        <f t="shared" si="7"/>
        <v>3556.9660377065998</v>
      </c>
      <c r="L32" s="14">
        <f t="shared" si="7"/>
        <v>4200.7688452634211</v>
      </c>
      <c r="M32" s="14">
        <f t="shared" si="7"/>
        <v>4800.1397263264917</v>
      </c>
    </row>
    <row r="33" spans="2:13" ht="15" customHeight="1" x14ac:dyDescent="0.25">
      <c r="B33" s="75" t="s">
        <v>564</v>
      </c>
      <c r="D33" s="14">
        <f t="shared" si="3"/>
        <v>0</v>
      </c>
      <c r="E33" s="14">
        <f t="shared" ref="E33:M33" si="8">(D33+E24-E93)</f>
        <v>75.81</v>
      </c>
      <c r="F33" s="14">
        <f t="shared" si="8"/>
        <v>201.80349999999999</v>
      </c>
      <c r="G33" s="14">
        <f t="shared" si="8"/>
        <v>401.35262499999999</v>
      </c>
      <c r="H33" s="14">
        <f t="shared" si="8"/>
        <v>634.84856875000003</v>
      </c>
      <c r="I33" s="14">
        <f t="shared" si="8"/>
        <v>903.98972656249987</v>
      </c>
      <c r="J33" s="14">
        <f t="shared" si="8"/>
        <v>1306.3832949218749</v>
      </c>
      <c r="K33" s="14">
        <f t="shared" si="8"/>
        <v>1754.2498711914061</v>
      </c>
      <c r="L33" s="14">
        <f t="shared" si="8"/>
        <v>2196.6074033935543</v>
      </c>
      <c r="M33" s="14">
        <f t="shared" si="8"/>
        <v>2683.7127525451656</v>
      </c>
    </row>
    <row r="34" spans="2:13" ht="15" customHeight="1" x14ac:dyDescent="0.25">
      <c r="B34" s="75" t="s">
        <v>565</v>
      </c>
      <c r="D34" s="14">
        <f t="shared" si="3"/>
        <v>36.479999999999997</v>
      </c>
      <c r="E34" s="14">
        <f t="shared" ref="E34:M34" si="9">(D34+E25-E94)</f>
        <v>97.816999999999979</v>
      </c>
      <c r="F34" s="14">
        <f t="shared" si="9"/>
        <v>201.60684999999998</v>
      </c>
      <c r="G34" s="14">
        <f t="shared" si="9"/>
        <v>378.08443749999998</v>
      </c>
      <c r="H34" s="14">
        <f t="shared" si="9"/>
        <v>612.303828125</v>
      </c>
      <c r="I34" s="14">
        <f t="shared" si="9"/>
        <v>896.54167109374998</v>
      </c>
      <c r="J34" s="14">
        <f t="shared" si="9"/>
        <v>1209.7093533203124</v>
      </c>
      <c r="K34" s="14">
        <f t="shared" si="9"/>
        <v>1517.7092149902344</v>
      </c>
      <c r="L34" s="14">
        <f t="shared" si="9"/>
        <v>1831.3711112426759</v>
      </c>
      <c r="M34" s="14">
        <f t="shared" si="9"/>
        <v>2130.2036334320069</v>
      </c>
    </row>
    <row r="35" spans="2:13" ht="15" customHeight="1" x14ac:dyDescent="0.25">
      <c r="B35" s="41" t="s">
        <v>566</v>
      </c>
      <c r="D35" s="43">
        <f t="shared" ref="D35:M35" si="10">SUM(D29:D34)</f>
        <v>425.05500000000001</v>
      </c>
      <c r="E35" s="43">
        <f t="shared" si="10"/>
        <v>1127.8178999999998</v>
      </c>
      <c r="F35" s="43">
        <f t="shared" si="10"/>
        <v>2129.6692929999999</v>
      </c>
      <c r="G35" s="43">
        <f t="shared" si="10"/>
        <v>3793.6272703099999</v>
      </c>
      <c r="H35" s="43">
        <f t="shared" si="10"/>
        <v>5888.2960481076998</v>
      </c>
      <c r="I35" s="43">
        <f t="shared" si="10"/>
        <v>7977.663241982159</v>
      </c>
      <c r="J35" s="43">
        <f t="shared" si="10"/>
        <v>10298.857423940546</v>
      </c>
      <c r="K35" s="43">
        <f t="shared" si="10"/>
        <v>12516.925663899541</v>
      </c>
      <c r="L35" s="43">
        <f t="shared" si="10"/>
        <v>14620.824906707223</v>
      </c>
      <c r="M35" s="43">
        <f t="shared" si="10"/>
        <v>16679.743046164738</v>
      </c>
    </row>
    <row r="37" spans="2:13" ht="21.75" customHeight="1" x14ac:dyDescent="0.25">
      <c r="B37" s="110" t="s">
        <v>567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</row>
    <row r="38" spans="2:13" ht="15" customHeight="1" x14ac:dyDescent="0.25">
      <c r="B38" s="11" t="s">
        <v>568</v>
      </c>
      <c r="D38" s="16">
        <f>IFERROR(D26/Revenue!D12,0)</f>
        <v>9.096285714285715</v>
      </c>
      <c r="E38" s="16">
        <f>IFERROR(E26/Revenue!E12,0)</f>
        <v>4.4549507761513212</v>
      </c>
      <c r="F38" s="16">
        <f>IFERROR(F26/Revenue!F12,0)</f>
        <v>3.0403249581747209</v>
      </c>
      <c r="G38" s="16">
        <f>IFERROR(G26/Revenue!G12,0)</f>
        <v>2.9456865332781876</v>
      </c>
      <c r="H38" s="16">
        <f>IFERROR(H26/Revenue!H12,0)</f>
        <v>2.4468925094674954</v>
      </c>
      <c r="I38" s="16">
        <f>IFERROR(I26/Revenue!I12,0)</f>
        <v>1.9583253508345955</v>
      </c>
      <c r="J38" s="16">
        <f>IFERROR(J26/Revenue!J12,0)</f>
        <v>1.8048952705719115</v>
      </c>
      <c r="K38" s="16">
        <f>IFERROR(K26/Revenue!K12,0)</f>
        <v>1.6061382215445361</v>
      </c>
      <c r="L38" s="16">
        <f>IFERROR(L26/Revenue!L12,0)</f>
        <v>1.4802701583629563</v>
      </c>
      <c r="M38" s="16">
        <f>IFERROR(M26/Revenue!M12,0)</f>
        <v>1.4072775127049668</v>
      </c>
    </row>
    <row r="39" spans="2:13" ht="15" customHeight="1" x14ac:dyDescent="0.25">
      <c r="B39" s="11" t="s">
        <v>569</v>
      </c>
      <c r="D39" s="86">
        <f>IFERROR(D35/Revenue!D12*12,0)</f>
        <v>97.155428571428587</v>
      </c>
      <c r="E39" s="86">
        <f>IFERROR(E35/Revenue!E12*12,0)</f>
        <v>66.535475830537209</v>
      </c>
      <c r="F39" s="86">
        <f>IFERROR(F35/Revenue!F12*12,0)</f>
        <v>52.046250869458582</v>
      </c>
      <c r="G39" s="86">
        <f>IFERROR(G35/Revenue!G12*12,0)</f>
        <v>53.231220447418195</v>
      </c>
      <c r="H39" s="86">
        <f>IFERROR(H35/Revenue!H12*12,0)</f>
        <v>48.808087670022502</v>
      </c>
      <c r="I39" s="86">
        <f>IFERROR(I35/Revenue!I12*12,0)</f>
        <v>43.909162243726755</v>
      </c>
      <c r="J39" s="86">
        <f>IFERROR(J35/Revenue!J12*12,0)</f>
        <v>42.854673842911296</v>
      </c>
      <c r="K39" s="86">
        <f>IFERROR(K35/Revenue!K12*12,0)</f>
        <v>41.046457946279354</v>
      </c>
      <c r="L39" s="86">
        <f>IFERROR(L35/Revenue!L12*12,0)</f>
        <v>40.051039044838184</v>
      </c>
      <c r="M39" s="86">
        <f>IFERROR(M35/Revenue!M12*12,0)</f>
        <v>39.593323096506452</v>
      </c>
    </row>
    <row r="40" spans="2:13" ht="15" customHeight="1" x14ac:dyDescent="0.25">
      <c r="B40" s="11" t="s">
        <v>570</v>
      </c>
      <c r="D40" s="13">
        <f>0</f>
        <v>0</v>
      </c>
      <c r="E40" s="13">
        <f t="shared" ref="E40:M40" si="11">IFERROR(E35/D35-1,0)</f>
        <v>1.6533458023079359</v>
      </c>
      <c r="F40" s="13">
        <f t="shared" si="11"/>
        <v>0.88830953383520539</v>
      </c>
      <c r="G40" s="13">
        <f t="shared" si="11"/>
        <v>0.7813222375789779</v>
      </c>
      <c r="H40" s="13">
        <f t="shared" si="11"/>
        <v>0.55215460785807036</v>
      </c>
      <c r="I40" s="13">
        <f t="shared" si="11"/>
        <v>0.35483392424637206</v>
      </c>
      <c r="J40" s="13">
        <f t="shared" si="11"/>
        <v>0.29096166528353673</v>
      </c>
      <c r="K40" s="13">
        <f t="shared" si="11"/>
        <v>0.2153703220323171</v>
      </c>
      <c r="L40" s="13">
        <f t="shared" si="11"/>
        <v>0.1680843442951494</v>
      </c>
      <c r="M40" s="13">
        <f t="shared" si="11"/>
        <v>0.14082092854507811</v>
      </c>
    </row>
    <row r="42" spans="2:13" ht="21.75" customHeight="1" x14ac:dyDescent="0.25">
      <c r="B42" s="110" t="s">
        <v>571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</row>
    <row r="43" spans="2:13" ht="15" customHeight="1" x14ac:dyDescent="0.25">
      <c r="B43" s="75" t="s">
        <v>572</v>
      </c>
      <c r="D43" s="14">
        <f>IF(Revenue!D6=0,0,D20/Revenue!D6)</f>
        <v>0</v>
      </c>
      <c r="E43" s="14">
        <f>IF(Revenue!E6=0,0,E20/Revenue!E6)</f>
        <v>4</v>
      </c>
      <c r="F43" s="14">
        <f>IF(Revenue!F6=0,0,F20/Revenue!F6)</f>
        <v>2.2968024000000002</v>
      </c>
      <c r="G43" s="14">
        <f>IF(Revenue!G6=0,0,G20/Revenue!G6)</f>
        <v>2.1865642902953475</v>
      </c>
      <c r="H43" s="14">
        <f>IF(Revenue!H6=0,0,H20/Revenue!H6)</f>
        <v>1.7575052881008839</v>
      </c>
      <c r="I43" s="14">
        <f>IF(Revenue!I6=0,0,I20/Revenue!I6)</f>
        <v>1.4992441686629918</v>
      </c>
      <c r="J43" s="14">
        <f>IF(Revenue!J6=0,0,J20/Revenue!J6)</f>
        <v>1.3965394397615756</v>
      </c>
      <c r="K43" s="14">
        <f>IF(Revenue!K6=0,0,K20/Revenue!K6)</f>
        <v>1.2841078142977824</v>
      </c>
      <c r="L43" s="14">
        <f>IF(Revenue!L6=0,0,L20/Revenue!L6)</f>
        <v>1.2352827711514853</v>
      </c>
      <c r="M43" s="14">
        <f>IF(Revenue!M6=0,0,M20/Revenue!M6)</f>
        <v>1.1695712640916514</v>
      </c>
    </row>
    <row r="44" spans="2:13" ht="15" customHeight="1" x14ac:dyDescent="0.25">
      <c r="B44" s="75" t="s">
        <v>573</v>
      </c>
      <c r="D44" s="14">
        <f>IF(Revenue!D7=0,0,D21/Revenue!D7)</f>
        <v>6.4966666666666661</v>
      </c>
      <c r="E44" s="14">
        <f>IF(Revenue!E7=0,0,E21/Revenue!E7)</f>
        <v>2.6787524906869966</v>
      </c>
      <c r="F44" s="14">
        <f>IF(Revenue!F7=0,0,F21/Revenue!F7)</f>
        <v>1.5406459707836129</v>
      </c>
      <c r="G44" s="14">
        <f>IF(Revenue!G7=0,0,G21/Revenue!G7)</f>
        <v>1.556765990162319</v>
      </c>
      <c r="H44" s="14">
        <f>IF(Revenue!H7=0,0,H21/Revenue!H7)</f>
        <v>1.4971453119153277</v>
      </c>
      <c r="I44" s="14">
        <f>IF(Revenue!I7=0,0,I21/Revenue!I7)</f>
        <v>1.218422558268367</v>
      </c>
      <c r="J44" s="14">
        <f>IF(Revenue!J7=0,0,J21/Revenue!J7)</f>
        <v>1.2820313978419822</v>
      </c>
      <c r="K44" s="14">
        <f>IF(Revenue!K7=0,0,K21/Revenue!K7)</f>
        <v>1.147563833705435</v>
      </c>
      <c r="L44" s="14">
        <f>IF(Revenue!L7=0,0,L21/Revenue!L7)</f>
        <v>1.0795992924577225</v>
      </c>
      <c r="M44" s="14">
        <f>IF(Revenue!M7=0,0,M21/Revenue!M7)</f>
        <v>1.0909487525453989</v>
      </c>
    </row>
    <row r="45" spans="2:13" ht="15" customHeight="1" x14ac:dyDescent="0.25">
      <c r="B45" s="75" t="s">
        <v>574</v>
      </c>
      <c r="D45" s="14">
        <f>IF(Revenue!D8=0,0,D22/Revenue!D8)</f>
        <v>0</v>
      </c>
      <c r="E45" s="14">
        <f>IF(Revenue!E8=0,0,E22/Revenue!E8)</f>
        <v>0</v>
      </c>
      <c r="F45" s="14">
        <f>IF(Revenue!F8=0,0,F22/Revenue!F8)</f>
        <v>11.300758718424458</v>
      </c>
      <c r="G45" s="14">
        <f>IF(Revenue!G8=0,0,G22/Revenue!G8)</f>
        <v>4.556508547357998</v>
      </c>
      <c r="H45" s="14">
        <f>IF(Revenue!H8=0,0,H22/Revenue!H8)</f>
        <v>2.9542049402697375</v>
      </c>
      <c r="I45" s="14">
        <f>IF(Revenue!I8=0,0,I22/Revenue!I8)</f>
        <v>2.3068599375571202</v>
      </c>
      <c r="J45" s="14">
        <f>IF(Revenue!J8=0,0,J22/Revenue!J8)</f>
        <v>1.9041479105169654</v>
      </c>
      <c r="K45" s="14">
        <f>IF(Revenue!K8=0,0,K22/Revenue!K8)</f>
        <v>1.7514889419497104</v>
      </c>
      <c r="L45" s="14">
        <f>IF(Revenue!L8=0,0,L22/Revenue!L8)</f>
        <v>1.5248984103588121</v>
      </c>
      <c r="M45" s="14">
        <f>IF(Revenue!M8=0,0,M22/Revenue!M8)</f>
        <v>1.4416203547302284</v>
      </c>
    </row>
    <row r="46" spans="2:13" ht="15" customHeight="1" x14ac:dyDescent="0.25">
      <c r="B46" s="75" t="s">
        <v>196</v>
      </c>
      <c r="D46" s="14">
        <f>IF(Revenue!D9=0,0,D23/Revenue!D9)</f>
        <v>0</v>
      </c>
      <c r="E46" s="14">
        <f>IF(Revenue!E9=0,0,E23/Revenue!E9)</f>
        <v>0</v>
      </c>
      <c r="F46" s="14">
        <f>IF(Revenue!F9=0,0,F23/Revenue!F9)</f>
        <v>7.5757575757575761</v>
      </c>
      <c r="G46" s="14">
        <f>IF(Revenue!G9=0,0,G23/Revenue!G9)</f>
        <v>5.5577860625179234</v>
      </c>
      <c r="H46" s="14">
        <f>IF(Revenue!H9=0,0,H23/Revenue!H9)</f>
        <v>3.7158095015588812</v>
      </c>
      <c r="I46" s="14">
        <f>IF(Revenue!I9=0,0,I23/Revenue!I9)</f>
        <v>2.3984220855835505</v>
      </c>
      <c r="J46" s="14">
        <f>IF(Revenue!J9=0,0,J23/Revenue!J9)</f>
        <v>1.9918351903258815</v>
      </c>
      <c r="K46" s="14">
        <f>IF(Revenue!K9=0,0,K23/Revenue!K9)</f>
        <v>1.6612447371002423</v>
      </c>
      <c r="L46" s="14">
        <f>IF(Revenue!L9=0,0,L23/Revenue!L9)</f>
        <v>1.5484779944412728</v>
      </c>
      <c r="M46" s="14">
        <f>IF(Revenue!M9=0,0,M23/Revenue!M9)</f>
        <v>1.4323673746554189</v>
      </c>
    </row>
    <row r="47" spans="2:13" ht="15" customHeight="1" x14ac:dyDescent="0.25">
      <c r="B47" s="75" t="s">
        <v>575</v>
      </c>
      <c r="D47" s="14">
        <f>IF(Revenue!D10=0,0,D24/Revenue!D10)</f>
        <v>0</v>
      </c>
      <c r="E47" s="14">
        <f>IF(Revenue!E10=0,0,E24/Revenue!E10)</f>
        <v>0</v>
      </c>
      <c r="F47" s="14">
        <f>IF(Revenue!F10=0,0,F24/Revenue!F10)</f>
        <v>7.6478564833135465</v>
      </c>
      <c r="G47" s="14">
        <f>IF(Revenue!G10=0,0,G24/Revenue!G10)</f>
        <v>4.9553154429928128</v>
      </c>
      <c r="H47" s="14">
        <f>IF(Revenue!H10=0,0,H24/Revenue!H10)</f>
        <v>3.3270902364223978</v>
      </c>
      <c r="I47" s="14">
        <f>IF(Revenue!I10=0,0,I24/Revenue!I10)</f>
        <v>2.6957817726040196</v>
      </c>
      <c r="J47" s="14">
        <f>IF(Revenue!J10=0,0,J24/Revenue!J10)</f>
        <v>2.7805227494764209</v>
      </c>
      <c r="K47" s="14">
        <f>IF(Revenue!K10=0,0,K24/Revenue!K10)</f>
        <v>2.3713175237633908</v>
      </c>
      <c r="L47" s="14">
        <f>IF(Revenue!L10=0,0,L24/Revenue!L10)</f>
        <v>2.0086534181170426</v>
      </c>
      <c r="M47" s="14">
        <f>IF(Revenue!M10=0,0,M24/Revenue!M10)</f>
        <v>1.8870139441378171</v>
      </c>
    </row>
    <row r="48" spans="2:13" ht="15" customHeight="1" x14ac:dyDescent="0.25">
      <c r="B48" s="75" t="s">
        <v>187</v>
      </c>
      <c r="D48" s="14">
        <f>IF(Revenue!D11=0,0,D25/Revenue!D11)</f>
        <v>0</v>
      </c>
      <c r="E48" s="14">
        <f>IF(Revenue!E11=0,0,E25/Revenue!E11)</f>
        <v>7.7255482456140347</v>
      </c>
      <c r="F48" s="14">
        <f>IF(Revenue!F11=0,0,F25/Revenue!F11)</f>
        <v>5.2442458877291278</v>
      </c>
      <c r="G48" s="14">
        <f>IF(Revenue!G11=0,0,G25/Revenue!G11)</f>
        <v>4.501420462647971</v>
      </c>
      <c r="H48" s="14">
        <f>IF(Revenue!H11=0,0,H25/Revenue!H11)</f>
        <v>3.4779585446438803</v>
      </c>
      <c r="I48" s="14">
        <f>IF(Revenue!I11=0,0,I25/Revenue!I11)</f>
        <v>2.8568418481990854</v>
      </c>
      <c r="J48" s="14">
        <f>IF(Revenue!J11=0,0,J25/Revenue!J11)</f>
        <v>2.3972253262673608</v>
      </c>
      <c r="K48" s="14">
        <f>IF(Revenue!K11=0,0,K25/Revenue!K11)</f>
        <v>2.0184259907540558</v>
      </c>
      <c r="L48" s="14">
        <f>IF(Revenue!L11=0,0,L25/Revenue!L11)</f>
        <v>1.8266719162127765</v>
      </c>
      <c r="M48" s="14">
        <f>IF(Revenue!M11=0,0,M25/Revenue!M11)</f>
        <v>1.6526968135618529</v>
      </c>
    </row>
    <row r="49" spans="2:13" ht="15" customHeight="1" x14ac:dyDescent="0.25">
      <c r="B49" s="41" t="s">
        <v>576</v>
      </c>
      <c r="D49" s="43">
        <f>IFERROR(SUM(D20:D25)/SUM(Revenue!D6:D11),0)</f>
        <v>9.096285714285715</v>
      </c>
      <c r="E49" s="43">
        <f>IFERROR(SUM(E20:E25)/SUM(Revenue!E6:E11),0)</f>
        <v>4.4549507761513212</v>
      </c>
      <c r="F49" s="43">
        <f>IFERROR(SUM(F20:F25)/SUM(Revenue!F6:F11),0)</f>
        <v>3.0403249581747209</v>
      </c>
      <c r="G49" s="43">
        <f>IFERROR(SUM(G20:G25)/SUM(Revenue!G6:G11),0)</f>
        <v>2.9456865332781876</v>
      </c>
      <c r="H49" s="43">
        <f>IFERROR(SUM(H20:H25)/SUM(Revenue!H6:H11),0)</f>
        <v>2.4468925094674954</v>
      </c>
      <c r="I49" s="43">
        <f>IFERROR(SUM(I20:I25)/SUM(Revenue!I6:I11),0)</f>
        <v>1.9583253508345955</v>
      </c>
      <c r="J49" s="43">
        <f>IFERROR(SUM(J20:J25)/SUM(Revenue!J6:J11),0)</f>
        <v>1.8048952705719115</v>
      </c>
      <c r="K49" s="43">
        <f>IFERROR(SUM(K20:K25)/SUM(Revenue!K6:K11),0)</f>
        <v>1.6061382215445361</v>
      </c>
      <c r="L49" s="43">
        <f>IFERROR(SUM(L20:L25)/SUM(Revenue!L6:L11),0)</f>
        <v>1.4802701583629563</v>
      </c>
      <c r="M49" s="43">
        <f>IFERROR(SUM(M20:M25)/SUM(Revenue!M6:M11),0)</f>
        <v>1.4072775127049668</v>
      </c>
    </row>
    <row r="51" spans="2:13" ht="21.75" customHeight="1" x14ac:dyDescent="0.25">
      <c r="B51" s="110" t="s">
        <v>577</v>
      </c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</row>
    <row r="52" spans="2:13" ht="15" customHeight="1" x14ac:dyDescent="0.25">
      <c r="B52" s="75" t="s">
        <v>578</v>
      </c>
      <c r="D52" s="14">
        <f>Assumptions!$C$22*D26</f>
        <v>71.633250000000004</v>
      </c>
      <c r="E52" s="14">
        <f>Assumptions!$C$22*E26</f>
        <v>135.92555999999996</v>
      </c>
      <c r="F52" s="14">
        <f>Assumptions!$C$22*F26</f>
        <v>223.93152000000001</v>
      </c>
      <c r="G52" s="14">
        <f>Assumptions!$C$22*G26</f>
        <v>377.87422500000002</v>
      </c>
      <c r="H52" s="14">
        <f>Assumptions!$C$22*H26</f>
        <v>531.35557499999993</v>
      </c>
      <c r="I52" s="14">
        <f>Assumptions!$C$22*I26</f>
        <v>640.43918999999994</v>
      </c>
      <c r="J52" s="14">
        <f>Assumptions!$C$22*J26</f>
        <v>780.75605999999993</v>
      </c>
      <c r="K52" s="14">
        <f>Assumptions!$C$22*K26</f>
        <v>881.61183000000005</v>
      </c>
      <c r="L52" s="14">
        <f>Assumptions!$C$22*L26</f>
        <v>972.68356499999993</v>
      </c>
      <c r="M52" s="14">
        <f>Assumptions!$C$22*M26</f>
        <v>1067.1357149999999</v>
      </c>
    </row>
    <row r="53" spans="2:13" ht="15" customHeight="1" x14ac:dyDescent="0.25">
      <c r="B53" s="78" t="s">
        <v>579</v>
      </c>
      <c r="D53" s="14">
        <f>Revenue!D12</f>
        <v>52.5</v>
      </c>
      <c r="E53" s="14">
        <f>Revenue!E12</f>
        <v>203.4075</v>
      </c>
      <c r="F53" s="14">
        <f>Revenue!F12</f>
        <v>491.02540699999992</v>
      </c>
      <c r="G53" s="14">
        <f>Revenue!G12</f>
        <v>855.20352269</v>
      </c>
      <c r="H53" s="14">
        <f>Revenue!H12</f>
        <v>1447.7017222022996</v>
      </c>
      <c r="I53" s="14">
        <f>Revenue!I12</f>
        <v>2180.2274061255407</v>
      </c>
      <c r="J53" s="14">
        <f>Revenue!J12</f>
        <v>2883.8462180416127</v>
      </c>
      <c r="K53" s="14">
        <f>Revenue!K12</f>
        <v>3659.3439600410056</v>
      </c>
      <c r="L53" s="14">
        <f>Revenue!L12</f>
        <v>4380.6578571923174</v>
      </c>
      <c r="M53" s="14">
        <f>Revenue!M12</f>
        <v>5055.3199605424852</v>
      </c>
    </row>
    <row r="54" spans="2:13" ht="15" customHeight="1" x14ac:dyDescent="0.25">
      <c r="B54" s="75" t="s">
        <v>580</v>
      </c>
      <c r="D54" s="14">
        <f>0</f>
        <v>0</v>
      </c>
      <c r="E54" s="14">
        <f t="shared" ref="E54:M54" si="12">D56</f>
        <v>63.758250000000004</v>
      </c>
      <c r="F54" s="14">
        <f t="shared" si="12"/>
        <v>169.17268499999997</v>
      </c>
      <c r="G54" s="14">
        <f t="shared" si="12"/>
        <v>319.45039394999998</v>
      </c>
      <c r="H54" s="14">
        <f t="shared" si="12"/>
        <v>569.0440905465</v>
      </c>
      <c r="I54" s="14">
        <f t="shared" si="12"/>
        <v>883.24440721615485</v>
      </c>
      <c r="J54" s="14">
        <f t="shared" si="12"/>
        <v>1196.6494862973236</v>
      </c>
      <c r="K54" s="14">
        <f t="shared" si="12"/>
        <v>1544.8286135910816</v>
      </c>
      <c r="L54" s="14">
        <f t="shared" si="12"/>
        <v>1877.5388495849311</v>
      </c>
      <c r="M54" s="14">
        <f t="shared" si="12"/>
        <v>2193.1237360060832</v>
      </c>
    </row>
    <row r="55" spans="2:13" ht="15" customHeight="1" x14ac:dyDescent="0.25">
      <c r="B55" s="75" t="s">
        <v>581</v>
      </c>
      <c r="D55" s="14">
        <f>MIN(D54+D52,D53*Assumptions!$C$22)</f>
        <v>7.875</v>
      </c>
      <c r="E55" s="14">
        <f>MIN(E54+E52,E53*Assumptions!$C$22)</f>
        <v>30.511125</v>
      </c>
      <c r="F55" s="14">
        <f>MIN(F54+F52,F53*Assumptions!$C$22)</f>
        <v>73.653811049999987</v>
      </c>
      <c r="G55" s="14">
        <f>MIN(G54+G52,G53*Assumptions!$C$22)</f>
        <v>128.2805284035</v>
      </c>
      <c r="H55" s="14">
        <f>MIN(H54+H52,H53*Assumptions!$C$22)</f>
        <v>217.15525833034494</v>
      </c>
      <c r="I55" s="14">
        <f>MIN(I54+I52,I53*Assumptions!$C$22)</f>
        <v>327.03411091883112</v>
      </c>
      <c r="J55" s="14">
        <f>MIN(J54+J52,J53*Assumptions!$C$22)</f>
        <v>432.57693270624191</v>
      </c>
      <c r="K55" s="14">
        <f>MIN(K54+K52,K53*Assumptions!$C$22)</f>
        <v>548.90159400615084</v>
      </c>
      <c r="L55" s="14">
        <f>MIN(L54+L52,L53*Assumptions!$C$22)</f>
        <v>657.09867857884763</v>
      </c>
      <c r="M55" s="14">
        <f>MIN(M54+M52,M53*Assumptions!$C$22)</f>
        <v>758.29799408137274</v>
      </c>
    </row>
    <row r="56" spans="2:13" ht="15" customHeight="1" x14ac:dyDescent="0.25">
      <c r="B56" s="41" t="s">
        <v>582</v>
      </c>
      <c r="D56" s="43">
        <f t="shared" ref="D56:M56" si="13">MAX(0,D54+D52-D55)</f>
        <v>63.758250000000004</v>
      </c>
      <c r="E56" s="43">
        <f t="shared" si="13"/>
        <v>169.17268499999997</v>
      </c>
      <c r="F56" s="43">
        <f t="shared" si="13"/>
        <v>319.45039394999998</v>
      </c>
      <c r="G56" s="43">
        <f t="shared" si="13"/>
        <v>569.0440905465</v>
      </c>
      <c r="H56" s="43">
        <f t="shared" si="13"/>
        <v>883.24440721615485</v>
      </c>
      <c r="I56" s="43">
        <f t="shared" si="13"/>
        <v>1196.6494862973236</v>
      </c>
      <c r="J56" s="43">
        <f t="shared" si="13"/>
        <v>1544.8286135910816</v>
      </c>
      <c r="K56" s="43">
        <f t="shared" si="13"/>
        <v>1877.5388495849311</v>
      </c>
      <c r="L56" s="43">
        <f t="shared" si="13"/>
        <v>2193.1237360060832</v>
      </c>
      <c r="M56" s="43">
        <f t="shared" si="13"/>
        <v>2501.9614569247105</v>
      </c>
    </row>
    <row r="57" spans="2:13" ht="23.25" customHeight="1" x14ac:dyDescent="0.25">
      <c r="B57" s="78" t="s">
        <v>583</v>
      </c>
      <c r="D57" s="14">
        <f t="shared" ref="D57:M57" si="14">D52-D55</f>
        <v>63.758250000000004</v>
      </c>
      <c r="E57" s="14">
        <f t="shared" si="14"/>
        <v>105.41443499999997</v>
      </c>
      <c r="F57" s="14">
        <f t="shared" si="14"/>
        <v>150.27770895000003</v>
      </c>
      <c r="G57" s="14">
        <f t="shared" si="14"/>
        <v>249.59369659650002</v>
      </c>
      <c r="H57" s="14">
        <f t="shared" si="14"/>
        <v>314.20031666965497</v>
      </c>
      <c r="I57" s="14">
        <f t="shared" si="14"/>
        <v>313.40507908116882</v>
      </c>
      <c r="J57" s="14">
        <f t="shared" si="14"/>
        <v>348.17912729375803</v>
      </c>
      <c r="K57" s="14">
        <f t="shared" si="14"/>
        <v>332.71023599384921</v>
      </c>
      <c r="L57" s="14">
        <f t="shared" si="14"/>
        <v>315.58488642115231</v>
      </c>
      <c r="M57" s="14">
        <f t="shared" si="14"/>
        <v>308.83772091862716</v>
      </c>
    </row>
    <row r="59" spans="2:13" ht="21.75" customHeight="1" x14ac:dyDescent="0.25">
      <c r="B59" s="110" t="s">
        <v>584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</row>
    <row r="60" spans="2:13" ht="23.25" customHeight="1" x14ac:dyDescent="0.25">
      <c r="B60" s="75" t="s">
        <v>585</v>
      </c>
      <c r="D60" s="14">
        <f t="shared" ref="D60:M60" si="15">D56</f>
        <v>63.758250000000004</v>
      </c>
      <c r="E60" s="14">
        <f t="shared" si="15"/>
        <v>169.17268499999997</v>
      </c>
      <c r="F60" s="14">
        <f t="shared" si="15"/>
        <v>319.45039394999998</v>
      </c>
      <c r="G60" s="14">
        <f t="shared" si="15"/>
        <v>569.0440905465</v>
      </c>
      <c r="H60" s="14">
        <f t="shared" si="15"/>
        <v>883.24440721615485</v>
      </c>
      <c r="I60" s="14">
        <f t="shared" si="15"/>
        <v>1196.6494862973236</v>
      </c>
      <c r="J60" s="14">
        <f t="shared" si="15"/>
        <v>1544.8286135910816</v>
      </c>
      <c r="K60" s="14">
        <f t="shared" si="15"/>
        <v>1877.5388495849311</v>
      </c>
      <c r="L60" s="14">
        <f t="shared" si="15"/>
        <v>2193.1237360060832</v>
      </c>
      <c r="M60" s="14">
        <f t="shared" si="15"/>
        <v>2501.9614569247105</v>
      </c>
    </row>
    <row r="61" spans="2:13" ht="23.25" customHeight="1" x14ac:dyDescent="0.25">
      <c r="B61" s="75" t="s">
        <v>586</v>
      </c>
      <c r="D61" s="14">
        <f>Assumptions!$C$21*D35</f>
        <v>12.75165</v>
      </c>
      <c r="E61" s="14">
        <f>Assumptions!$C$21*E35</f>
        <v>33.83453699999999</v>
      </c>
      <c r="F61" s="14">
        <f>Assumptions!$C$21*F35</f>
        <v>63.890078789999997</v>
      </c>
      <c r="G61" s="14">
        <f>Assumptions!$C$21*G35</f>
        <v>113.80881810929999</v>
      </c>
      <c r="H61" s="14">
        <f>Assumptions!$C$21*H35</f>
        <v>176.64888144323098</v>
      </c>
      <c r="I61" s="14">
        <f>Assumptions!$C$21*I35</f>
        <v>239.32989725946476</v>
      </c>
      <c r="J61" s="14">
        <f>Assumptions!$C$21*J35</f>
        <v>308.9657227182164</v>
      </c>
      <c r="K61" s="14">
        <f>Assumptions!$C$21*K35</f>
        <v>375.50776991698621</v>
      </c>
      <c r="L61" s="14">
        <f>Assumptions!$C$21*L35</f>
        <v>438.62474720121668</v>
      </c>
      <c r="M61" s="14">
        <f>Assumptions!$C$21*M35</f>
        <v>500.39229138494215</v>
      </c>
    </row>
    <row r="62" spans="2:13" ht="15" customHeight="1" x14ac:dyDescent="0.25">
      <c r="B62" s="41" t="s">
        <v>587</v>
      </c>
      <c r="D62" s="43">
        <f t="shared" ref="D62:M62" si="16">D60+D61</f>
        <v>76.509900000000002</v>
      </c>
      <c r="E62" s="43">
        <f t="shared" si="16"/>
        <v>203.00722199999996</v>
      </c>
      <c r="F62" s="43">
        <f t="shared" si="16"/>
        <v>383.34047274</v>
      </c>
      <c r="G62" s="43">
        <f t="shared" si="16"/>
        <v>682.85290865579998</v>
      </c>
      <c r="H62" s="43">
        <f t="shared" si="16"/>
        <v>1059.8932886593859</v>
      </c>
      <c r="I62" s="43">
        <f t="shared" si="16"/>
        <v>1435.9793835567884</v>
      </c>
      <c r="J62" s="43">
        <f t="shared" si="16"/>
        <v>1853.7943363092982</v>
      </c>
      <c r="K62" s="43">
        <f t="shared" si="16"/>
        <v>2253.0466195019171</v>
      </c>
      <c r="L62" s="43">
        <f t="shared" si="16"/>
        <v>2631.7484832072996</v>
      </c>
      <c r="M62" s="43">
        <f t="shared" si="16"/>
        <v>3002.3537483096525</v>
      </c>
    </row>
    <row r="63" spans="2:13" ht="23.25" customHeight="1" x14ac:dyDescent="0.25">
      <c r="B63" s="2" t="s">
        <v>588</v>
      </c>
      <c r="D63" s="14">
        <f t="shared" ref="D63:M63" si="17">0.1*D62</f>
        <v>7.6509900000000002</v>
      </c>
      <c r="E63" s="14">
        <f t="shared" si="17"/>
        <v>20.300722199999996</v>
      </c>
      <c r="F63" s="14">
        <f t="shared" si="17"/>
        <v>38.334047274</v>
      </c>
      <c r="G63" s="14">
        <f t="shared" si="17"/>
        <v>68.285290865579995</v>
      </c>
      <c r="H63" s="14">
        <f t="shared" si="17"/>
        <v>105.9893288659386</v>
      </c>
      <c r="I63" s="14">
        <f t="shared" si="17"/>
        <v>143.59793835567885</v>
      </c>
      <c r="J63" s="14">
        <f t="shared" si="17"/>
        <v>185.37943363092984</v>
      </c>
      <c r="K63" s="14">
        <f t="shared" si="17"/>
        <v>225.30466195019173</v>
      </c>
      <c r="L63" s="14">
        <f t="shared" si="17"/>
        <v>263.17484832072995</v>
      </c>
      <c r="M63" s="14">
        <f t="shared" si="17"/>
        <v>300.23537483096527</v>
      </c>
    </row>
    <row r="64" spans="2:13" ht="15" customHeight="1" x14ac:dyDescent="0.25">
      <c r="B64" s="2" t="s">
        <v>589</v>
      </c>
      <c r="D64" s="14">
        <f>Assumptions!$C$23*D62</f>
        <v>0.84160889999999999</v>
      </c>
      <c r="E64" s="14">
        <f>Assumptions!$C$23*E62</f>
        <v>2.2330794419999993</v>
      </c>
      <c r="F64" s="14">
        <f>Assumptions!$C$23*F62</f>
        <v>4.2167452001400001</v>
      </c>
      <c r="G64" s="14">
        <f>Assumptions!$C$23*G62</f>
        <v>7.5113819952137995</v>
      </c>
      <c r="H64" s="14">
        <f>Assumptions!$C$23*H62</f>
        <v>11.658826175253244</v>
      </c>
      <c r="I64" s="14">
        <f>Assumptions!$C$23*I62</f>
        <v>15.795773219124673</v>
      </c>
      <c r="J64" s="14">
        <f>Assumptions!$C$23*J62</f>
        <v>20.391737699402277</v>
      </c>
      <c r="K64" s="14">
        <f>Assumptions!$C$23*K62</f>
        <v>24.783512814521085</v>
      </c>
      <c r="L64" s="14">
        <f>Assumptions!$C$23*L62</f>
        <v>28.949233315280296</v>
      </c>
      <c r="M64" s="14">
        <f>Assumptions!$C$23*M62</f>
        <v>33.025891231406177</v>
      </c>
    </row>
    <row r="66" spans="2:13" ht="21.75" customHeight="1" x14ac:dyDescent="0.25">
      <c r="B66" s="110" t="s">
        <v>590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</row>
    <row r="67" spans="2:13" ht="21.75" customHeight="1" x14ac:dyDescent="0.25">
      <c r="B67" s="128" t="s">
        <v>591</v>
      </c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</row>
    <row r="68" spans="2:13" ht="21.75" customHeight="1" x14ac:dyDescent="0.25">
      <c r="B68" s="128" t="s">
        <v>933</v>
      </c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</row>
    <row r="69" spans="2:13" ht="21.75" customHeight="1" x14ac:dyDescent="0.25">
      <c r="B69" s="128" t="s">
        <v>592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</row>
    <row r="70" spans="2:13" ht="21.75" customHeight="1" x14ac:dyDescent="0.25">
      <c r="B70" s="128" t="s">
        <v>593</v>
      </c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</row>
    <row r="71" spans="2:13" ht="21.75" customHeight="1" x14ac:dyDescent="0.25">
      <c r="B71" s="128" t="s">
        <v>594</v>
      </c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</row>
    <row r="72" spans="2:13" ht="21.75" customHeight="1" x14ac:dyDescent="0.25">
      <c r="B72" s="128" t="s">
        <v>595</v>
      </c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</row>
    <row r="73" spans="2:13" ht="21.75" customHeight="1" x14ac:dyDescent="0.25">
      <c r="B73" s="128" t="s">
        <v>596</v>
      </c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</row>
    <row r="74" spans="2:13" ht="15" customHeight="1" x14ac:dyDescent="0.25">
      <c r="B74" t="s">
        <v>597</v>
      </c>
    </row>
    <row r="75" spans="2:13" ht="15" customHeight="1" x14ac:dyDescent="0.25">
      <c r="B75" t="s">
        <v>598</v>
      </c>
      <c r="D75" s="26">
        <v>0</v>
      </c>
      <c r="E75" s="26">
        <f t="shared" ref="E75:M75" si="18">D29</f>
        <v>100</v>
      </c>
      <c r="F75" s="26">
        <f t="shared" si="18"/>
        <v>250</v>
      </c>
      <c r="G75" s="26">
        <f t="shared" si="18"/>
        <v>412.10030000000006</v>
      </c>
      <c r="H75" s="26">
        <f t="shared" si="18"/>
        <v>656.59204999999997</v>
      </c>
      <c r="I75" s="26">
        <f t="shared" si="18"/>
        <v>905.27802499999996</v>
      </c>
      <c r="J75" s="26">
        <f t="shared" si="18"/>
        <v>1131.2554124999999</v>
      </c>
      <c r="K75" s="26">
        <f t="shared" si="18"/>
        <v>1355.54910625</v>
      </c>
      <c r="L75" s="26">
        <f t="shared" si="18"/>
        <v>1548.1101531249999</v>
      </c>
      <c r="M75" s="26">
        <f t="shared" si="18"/>
        <v>1730.2319765625002</v>
      </c>
    </row>
    <row r="76" spans="2:13" ht="15" customHeight="1" x14ac:dyDescent="0.25">
      <c r="B76" t="s">
        <v>599</v>
      </c>
      <c r="D76" s="26">
        <v>105</v>
      </c>
      <c r="E76" s="26">
        <f t="shared" ref="E76:M76" si="19">D30</f>
        <v>288.57499999999999</v>
      </c>
      <c r="F76" s="26">
        <f t="shared" si="19"/>
        <v>530.79799999999989</v>
      </c>
      <c r="G76" s="26">
        <f t="shared" si="19"/>
        <v>674.28489999999988</v>
      </c>
      <c r="H76" s="26">
        <f t="shared" si="19"/>
        <v>861.99434999999983</v>
      </c>
      <c r="I76" s="26">
        <f t="shared" si="19"/>
        <v>1076.2625749999997</v>
      </c>
      <c r="J76" s="26">
        <f t="shared" si="19"/>
        <v>1193.8025874999998</v>
      </c>
      <c r="K76" s="26">
        <f t="shared" si="19"/>
        <v>1362.14749375</v>
      </c>
      <c r="L76" s="26">
        <f t="shared" si="19"/>
        <v>1462.649346875</v>
      </c>
      <c r="M76" s="26">
        <f t="shared" si="19"/>
        <v>1520.8622734375001</v>
      </c>
    </row>
    <row r="77" spans="2:13" ht="15" customHeight="1" x14ac:dyDescent="0.25">
      <c r="B77" t="s">
        <v>600</v>
      </c>
      <c r="D77" s="26">
        <v>0</v>
      </c>
      <c r="E77" s="26">
        <f t="shared" ref="E77:M77" si="20">D31</f>
        <v>0</v>
      </c>
      <c r="F77" s="26">
        <f t="shared" si="20"/>
        <v>73.392899999999997</v>
      </c>
      <c r="G77" s="26">
        <f t="shared" si="20"/>
        <v>322.87374299999999</v>
      </c>
      <c r="H77" s="26">
        <f t="shared" si="20"/>
        <v>701.81380781000007</v>
      </c>
      <c r="I77" s="26">
        <f t="shared" si="20"/>
        <v>1154.4048512327001</v>
      </c>
      <c r="J77" s="26">
        <f t="shared" si="20"/>
        <v>1652.2578503259092</v>
      </c>
      <c r="K77" s="26">
        <f t="shared" si="20"/>
        <v>2145.2400597183591</v>
      </c>
      <c r="L77" s="26">
        <f t="shared" si="20"/>
        <v>2677.2410400113008</v>
      </c>
      <c r="M77" s="26">
        <f t="shared" si="20"/>
        <v>3140.9832968075716</v>
      </c>
    </row>
    <row r="78" spans="2:13" ht="15" customHeight="1" x14ac:dyDescent="0.25">
      <c r="B78" t="s">
        <v>601</v>
      </c>
      <c r="D78" s="26">
        <v>0</v>
      </c>
      <c r="E78" s="26">
        <f t="shared" ref="E78:M78" si="21">D32</f>
        <v>0</v>
      </c>
      <c r="F78" s="26">
        <f t="shared" si="21"/>
        <v>100</v>
      </c>
      <c r="G78" s="26">
        <f t="shared" si="21"/>
        <v>317</v>
      </c>
      <c r="H78" s="26">
        <f t="shared" si="21"/>
        <v>793.79</v>
      </c>
      <c r="I78" s="26">
        <f t="shared" si="21"/>
        <v>1505.1981999999998</v>
      </c>
      <c r="J78" s="26">
        <f t="shared" si="21"/>
        <v>2199.815994</v>
      </c>
      <c r="K78" s="26">
        <f t="shared" si="21"/>
        <v>2919.8281159799999</v>
      </c>
      <c r="L78" s="26">
        <f t="shared" si="21"/>
        <v>3556.9660377065998</v>
      </c>
      <c r="M78" s="26">
        <f t="shared" si="21"/>
        <v>4200.7688452634211</v>
      </c>
    </row>
    <row r="79" spans="2:13" ht="15" customHeight="1" x14ac:dyDescent="0.25">
      <c r="B79" t="s">
        <v>602</v>
      </c>
      <c r="D79" s="26">
        <v>0</v>
      </c>
      <c r="E79" s="26">
        <f t="shared" ref="E79:M79" si="22">D33</f>
        <v>0</v>
      </c>
      <c r="F79" s="26">
        <f t="shared" si="22"/>
        <v>75.81</v>
      </c>
      <c r="G79" s="26">
        <f t="shared" si="22"/>
        <v>201.80349999999999</v>
      </c>
      <c r="H79" s="26">
        <f t="shared" si="22"/>
        <v>401.35262499999999</v>
      </c>
      <c r="I79" s="26">
        <f t="shared" si="22"/>
        <v>634.84856875000003</v>
      </c>
      <c r="J79" s="26">
        <f t="shared" si="22"/>
        <v>903.98972656249987</v>
      </c>
      <c r="K79" s="26">
        <f t="shared" si="22"/>
        <v>1306.3832949218749</v>
      </c>
      <c r="L79" s="26">
        <f t="shared" si="22"/>
        <v>1754.2498711914061</v>
      </c>
      <c r="M79" s="26">
        <f t="shared" si="22"/>
        <v>2196.6074033935543</v>
      </c>
    </row>
    <row r="80" spans="2:13" ht="15" customHeight="1" x14ac:dyDescent="0.25">
      <c r="B80" t="s">
        <v>603</v>
      </c>
      <c r="D80" s="26">
        <v>0</v>
      </c>
      <c r="E80" s="26">
        <f t="shared" ref="E80:M80" si="23">D34</f>
        <v>36.479999999999997</v>
      </c>
      <c r="F80" s="26">
        <f t="shared" si="23"/>
        <v>97.816999999999979</v>
      </c>
      <c r="G80" s="26">
        <f t="shared" si="23"/>
        <v>201.60684999999998</v>
      </c>
      <c r="H80" s="26">
        <f t="shared" si="23"/>
        <v>378.08443749999998</v>
      </c>
      <c r="I80" s="26">
        <f t="shared" si="23"/>
        <v>612.303828125</v>
      </c>
      <c r="J80" s="26">
        <f t="shared" si="23"/>
        <v>896.54167109374998</v>
      </c>
      <c r="K80" s="26">
        <f t="shared" si="23"/>
        <v>1209.7093533203124</v>
      </c>
      <c r="L80" s="26">
        <f t="shared" si="23"/>
        <v>1517.7092149902344</v>
      </c>
      <c r="M80" s="26">
        <f t="shared" si="23"/>
        <v>1831.3711112426759</v>
      </c>
    </row>
    <row r="81" spans="2:13" ht="15" customHeight="1" x14ac:dyDescent="0.25">
      <c r="B81" t="s">
        <v>604</v>
      </c>
    </row>
    <row r="82" spans="2:13" ht="15" customHeight="1" x14ac:dyDescent="0.25">
      <c r="B82" t="s">
        <v>605</v>
      </c>
      <c r="D82" s="87">
        <v>0.5</v>
      </c>
      <c r="E82" s="87">
        <v>0.5</v>
      </c>
      <c r="F82" s="87">
        <v>0.5</v>
      </c>
      <c r="G82" s="87">
        <v>0.5</v>
      </c>
      <c r="H82" s="87">
        <v>0.5</v>
      </c>
      <c r="I82" s="87">
        <v>0.5</v>
      </c>
      <c r="J82" s="87">
        <v>0.5</v>
      </c>
      <c r="K82" s="87">
        <v>0.5</v>
      </c>
      <c r="L82" s="87">
        <v>0.5</v>
      </c>
      <c r="M82" s="87">
        <v>0.5</v>
      </c>
    </row>
    <row r="83" spans="2:13" ht="15" customHeight="1" x14ac:dyDescent="0.25">
      <c r="B83" t="s">
        <v>606</v>
      </c>
      <c r="D83" s="87">
        <v>0.5</v>
      </c>
      <c r="E83" s="87">
        <v>0.5</v>
      </c>
      <c r="F83" s="87">
        <v>0.5</v>
      </c>
      <c r="G83" s="87">
        <v>0.5</v>
      </c>
      <c r="H83" s="87">
        <v>0.5</v>
      </c>
      <c r="I83" s="87">
        <v>0.5</v>
      </c>
      <c r="J83" s="87">
        <v>0.5</v>
      </c>
      <c r="K83" s="87">
        <v>0.5</v>
      </c>
      <c r="L83" s="87">
        <v>0.5</v>
      </c>
      <c r="M83" s="87">
        <v>0.5</v>
      </c>
    </row>
    <row r="84" spans="2:13" ht="15" customHeight="1" x14ac:dyDescent="0.25">
      <c r="B84" t="s">
        <v>607</v>
      </c>
      <c r="D84" s="87">
        <v>0.33</v>
      </c>
      <c r="E84" s="87">
        <v>0.33</v>
      </c>
      <c r="F84" s="87">
        <v>0.33</v>
      </c>
      <c r="G84" s="87">
        <v>0.33</v>
      </c>
      <c r="H84" s="87">
        <v>0.33</v>
      </c>
      <c r="I84" s="87">
        <v>0.33</v>
      </c>
      <c r="J84" s="87">
        <v>0.33</v>
      </c>
      <c r="K84" s="87">
        <v>0.33</v>
      </c>
      <c r="L84" s="87">
        <v>0.33</v>
      </c>
      <c r="M84" s="87">
        <v>0.33</v>
      </c>
    </row>
    <row r="85" spans="2:13" ht="15" customHeight="1" x14ac:dyDescent="0.25">
      <c r="B85" t="s">
        <v>608</v>
      </c>
      <c r="D85" s="87">
        <v>0.33</v>
      </c>
      <c r="E85" s="87">
        <v>0.33</v>
      </c>
      <c r="F85" s="87">
        <v>0.33</v>
      </c>
      <c r="G85" s="87">
        <v>0.33</v>
      </c>
      <c r="H85" s="87">
        <v>0.33</v>
      </c>
      <c r="I85" s="87">
        <v>0.33</v>
      </c>
      <c r="J85" s="87">
        <v>0.33</v>
      </c>
      <c r="K85" s="87">
        <v>0.33</v>
      </c>
      <c r="L85" s="87">
        <v>0.33</v>
      </c>
      <c r="M85" s="87">
        <v>0.33</v>
      </c>
    </row>
    <row r="86" spans="2:13" ht="15" customHeight="1" x14ac:dyDescent="0.25">
      <c r="B86" t="s">
        <v>609</v>
      </c>
      <c r="D86" s="87">
        <v>0.25</v>
      </c>
      <c r="E86" s="87">
        <v>0.25</v>
      </c>
      <c r="F86" s="87">
        <v>0.25</v>
      </c>
      <c r="G86" s="87">
        <v>0.25</v>
      </c>
      <c r="H86" s="87">
        <v>0.25</v>
      </c>
      <c r="I86" s="87">
        <v>0.25</v>
      </c>
      <c r="J86" s="87">
        <v>0.25</v>
      </c>
      <c r="K86" s="87">
        <v>0.25</v>
      </c>
      <c r="L86" s="87">
        <v>0.25</v>
      </c>
      <c r="M86" s="87">
        <v>0.25</v>
      </c>
    </row>
    <row r="87" spans="2:13" ht="15" customHeight="1" x14ac:dyDescent="0.25">
      <c r="B87" t="s">
        <v>610</v>
      </c>
      <c r="D87" s="87">
        <v>0.25</v>
      </c>
      <c r="E87" s="87">
        <v>0.25</v>
      </c>
      <c r="F87" s="87">
        <v>0.25</v>
      </c>
      <c r="G87" s="87">
        <v>0.25</v>
      </c>
      <c r="H87" s="87">
        <v>0.25</v>
      </c>
      <c r="I87" s="87">
        <v>0.25</v>
      </c>
      <c r="J87" s="87">
        <v>0.25</v>
      </c>
      <c r="K87" s="87">
        <v>0.25</v>
      </c>
      <c r="L87" s="87">
        <v>0.25</v>
      </c>
      <c r="M87" s="87">
        <v>0.25</v>
      </c>
    </row>
    <row r="89" spans="2:13" ht="15" customHeight="1" x14ac:dyDescent="0.25">
      <c r="B89" t="s">
        <v>611</v>
      </c>
      <c r="D89">
        <f t="shared" ref="D89:M89" si="24">D75*D82</f>
        <v>0</v>
      </c>
      <c r="E89">
        <f t="shared" si="24"/>
        <v>50</v>
      </c>
      <c r="F89">
        <f t="shared" si="24"/>
        <v>125</v>
      </c>
      <c r="G89">
        <f t="shared" si="24"/>
        <v>206.05015000000003</v>
      </c>
      <c r="H89">
        <f t="shared" si="24"/>
        <v>328.29602499999999</v>
      </c>
      <c r="I89">
        <f t="shared" si="24"/>
        <v>452.63901249999998</v>
      </c>
      <c r="J89">
        <f t="shared" si="24"/>
        <v>565.62770624999996</v>
      </c>
      <c r="K89">
        <f t="shared" si="24"/>
        <v>677.77455312500001</v>
      </c>
      <c r="L89">
        <f t="shared" si="24"/>
        <v>774.05507656249995</v>
      </c>
      <c r="M89">
        <f t="shared" si="24"/>
        <v>865.11598828125011</v>
      </c>
    </row>
    <row r="90" spans="2:13" ht="15" customHeight="1" x14ac:dyDescent="0.25">
      <c r="B90" t="s">
        <v>612</v>
      </c>
      <c r="D90">
        <f t="shared" ref="D90:M90" si="25">D76*D83</f>
        <v>52.5</v>
      </c>
      <c r="E90">
        <f t="shared" si="25"/>
        <v>144.28749999999999</v>
      </c>
      <c r="F90">
        <f t="shared" si="25"/>
        <v>265.39899999999994</v>
      </c>
      <c r="G90">
        <f t="shared" si="25"/>
        <v>337.14244999999994</v>
      </c>
      <c r="H90">
        <f t="shared" si="25"/>
        <v>430.99717499999991</v>
      </c>
      <c r="I90">
        <f t="shared" si="25"/>
        <v>538.13128749999987</v>
      </c>
      <c r="J90">
        <f t="shared" si="25"/>
        <v>596.90129374999992</v>
      </c>
      <c r="K90">
        <f t="shared" si="25"/>
        <v>681.07374687499998</v>
      </c>
      <c r="L90">
        <f t="shared" si="25"/>
        <v>731.3246734375</v>
      </c>
      <c r="M90">
        <f t="shared" si="25"/>
        <v>760.43113671875005</v>
      </c>
    </row>
    <row r="91" spans="2:13" ht="15" customHeight="1" x14ac:dyDescent="0.25">
      <c r="B91" t="s">
        <v>613</v>
      </c>
      <c r="D91">
        <f t="shared" ref="D91:M91" si="26">D77*D84</f>
        <v>0</v>
      </c>
      <c r="E91">
        <f t="shared" si="26"/>
        <v>0</v>
      </c>
      <c r="F91">
        <f t="shared" si="26"/>
        <v>24.219657000000002</v>
      </c>
      <c r="G91">
        <f t="shared" si="26"/>
        <v>106.54833519</v>
      </c>
      <c r="H91">
        <f t="shared" si="26"/>
        <v>231.59855657730003</v>
      </c>
      <c r="I91">
        <f t="shared" si="26"/>
        <v>380.95360090679105</v>
      </c>
      <c r="J91">
        <f t="shared" si="26"/>
        <v>545.24509060755008</v>
      </c>
      <c r="K91">
        <f t="shared" si="26"/>
        <v>707.92921970705856</v>
      </c>
      <c r="L91">
        <f t="shared" si="26"/>
        <v>883.48954320372934</v>
      </c>
      <c r="M91">
        <f t="shared" si="26"/>
        <v>1036.5244879464988</v>
      </c>
    </row>
    <row r="92" spans="2:13" ht="15" customHeight="1" x14ac:dyDescent="0.25">
      <c r="B92" t="s">
        <v>614</v>
      </c>
      <c r="D92">
        <f t="shared" ref="D92:M92" si="27">D78*D85</f>
        <v>0</v>
      </c>
      <c r="E92">
        <f t="shared" si="27"/>
        <v>0</v>
      </c>
      <c r="F92">
        <f t="shared" si="27"/>
        <v>33</v>
      </c>
      <c r="G92">
        <f t="shared" si="27"/>
        <v>104.61</v>
      </c>
      <c r="H92">
        <f t="shared" si="27"/>
        <v>261.95069999999998</v>
      </c>
      <c r="I92">
        <f t="shared" si="27"/>
        <v>496.71540599999997</v>
      </c>
      <c r="J92">
        <f t="shared" si="27"/>
        <v>725.93927802000007</v>
      </c>
      <c r="K92">
        <f t="shared" si="27"/>
        <v>963.54327827340001</v>
      </c>
      <c r="L92">
        <f t="shared" si="27"/>
        <v>1173.7987924431779</v>
      </c>
      <c r="M92">
        <f t="shared" si="27"/>
        <v>1386.2537189369291</v>
      </c>
    </row>
    <row r="93" spans="2:13" ht="15" customHeight="1" x14ac:dyDescent="0.25">
      <c r="B93" t="s">
        <v>615</v>
      </c>
      <c r="D93">
        <f t="shared" ref="D93:M93" si="28">D79*D86</f>
        <v>0</v>
      </c>
      <c r="E93">
        <f t="shared" si="28"/>
        <v>0</v>
      </c>
      <c r="F93">
        <f t="shared" si="28"/>
        <v>18.952500000000001</v>
      </c>
      <c r="G93">
        <f t="shared" si="28"/>
        <v>50.450874999999996</v>
      </c>
      <c r="H93">
        <f t="shared" si="28"/>
        <v>100.33815625</v>
      </c>
      <c r="I93">
        <f t="shared" si="28"/>
        <v>158.71214218750001</v>
      </c>
      <c r="J93">
        <f t="shared" si="28"/>
        <v>225.99743164062497</v>
      </c>
      <c r="K93">
        <f t="shared" si="28"/>
        <v>326.59582373046874</v>
      </c>
      <c r="L93">
        <f t="shared" si="28"/>
        <v>438.56246779785153</v>
      </c>
      <c r="M93">
        <f t="shared" si="28"/>
        <v>549.15185084838856</v>
      </c>
    </row>
    <row r="94" spans="2:13" ht="15" customHeight="1" x14ac:dyDescent="0.25">
      <c r="B94" t="s">
        <v>616</v>
      </c>
      <c r="D94">
        <f t="shared" ref="D94:M94" si="29">D80*D87</f>
        <v>0</v>
      </c>
      <c r="E94">
        <f t="shared" si="29"/>
        <v>9.1199999999999992</v>
      </c>
      <c r="F94">
        <f t="shared" si="29"/>
        <v>24.454249999999995</v>
      </c>
      <c r="G94">
        <f t="shared" si="29"/>
        <v>50.401712499999995</v>
      </c>
      <c r="H94">
        <f t="shared" si="29"/>
        <v>94.521109374999995</v>
      </c>
      <c r="I94">
        <f t="shared" si="29"/>
        <v>153.07595703125</v>
      </c>
      <c r="J94">
        <f t="shared" si="29"/>
        <v>224.1354177734375</v>
      </c>
      <c r="K94">
        <f t="shared" si="29"/>
        <v>302.4273383300781</v>
      </c>
      <c r="L94">
        <f t="shared" si="29"/>
        <v>379.4273037475586</v>
      </c>
      <c r="M94">
        <f t="shared" si="29"/>
        <v>457.84277781066896</v>
      </c>
    </row>
    <row r="95" spans="2:13" ht="15" customHeight="1" x14ac:dyDescent="0.25">
      <c r="B95" s="25" t="s">
        <v>617</v>
      </c>
      <c r="D95">
        <f t="shared" ref="D95:M95" si="30">SUM(D89:D94)</f>
        <v>52.5</v>
      </c>
      <c r="E95">
        <f t="shared" si="30"/>
        <v>203.4075</v>
      </c>
      <c r="F95">
        <f t="shared" si="30"/>
        <v>491.02540699999992</v>
      </c>
      <c r="G95">
        <f t="shared" si="30"/>
        <v>855.20352269</v>
      </c>
      <c r="H95">
        <f t="shared" si="30"/>
        <v>1447.7017222022996</v>
      </c>
      <c r="I95">
        <f t="shared" si="30"/>
        <v>2180.2274061255407</v>
      </c>
      <c r="J95">
        <f t="shared" si="30"/>
        <v>2883.8462180416127</v>
      </c>
      <c r="K95">
        <f t="shared" si="30"/>
        <v>3659.3439600410056</v>
      </c>
      <c r="L95">
        <f t="shared" si="30"/>
        <v>4380.6578571923174</v>
      </c>
      <c r="M95">
        <f t="shared" si="30"/>
        <v>5055.3199605424852</v>
      </c>
    </row>
    <row r="97" spans="2:2" ht="15" customHeight="1" x14ac:dyDescent="0.25">
      <c r="B97" t="s">
        <v>618</v>
      </c>
    </row>
    <row r="98" spans="2:2" ht="15" customHeight="1" x14ac:dyDescent="0.25">
      <c r="B98" t="s">
        <v>619</v>
      </c>
    </row>
    <row r="99" spans="2:2" ht="15" customHeight="1" x14ac:dyDescent="0.25">
      <c r="B99" t="s">
        <v>620</v>
      </c>
    </row>
    <row r="100" spans="2:2" ht="15" customHeight="1" x14ac:dyDescent="0.25">
      <c r="B100" t="s">
        <v>621</v>
      </c>
    </row>
    <row r="101" spans="2:2" ht="15" customHeight="1" x14ac:dyDescent="0.25">
      <c r="B101" t="s">
        <v>622</v>
      </c>
    </row>
    <row r="102" spans="2:2" ht="15" customHeight="1" x14ac:dyDescent="0.25">
      <c r="B102" t="s">
        <v>623</v>
      </c>
    </row>
  </sheetData>
  <mergeCells count="18">
    <mergeCell ref="B2:M2"/>
    <mergeCell ref="B3:M3"/>
    <mergeCell ref="B5:M5"/>
    <mergeCell ref="B12:M12"/>
    <mergeCell ref="B19:M19"/>
    <mergeCell ref="B28:M28"/>
    <mergeCell ref="B37:M37"/>
    <mergeCell ref="B42:M42"/>
    <mergeCell ref="B51:M51"/>
    <mergeCell ref="B59:M59"/>
    <mergeCell ref="B71:M71"/>
    <mergeCell ref="B72:M72"/>
    <mergeCell ref="B73:M73"/>
    <mergeCell ref="B66:M66"/>
    <mergeCell ref="B67:M67"/>
    <mergeCell ref="B68:M68"/>
    <mergeCell ref="B69:M69"/>
    <mergeCell ref="B70:M70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2:N72"/>
  <sheetViews>
    <sheetView showGridLines="0" zoomScaleNormal="100" workbookViewId="0">
      <pane xSplit="3" ySplit="4" topLeftCell="D41" activePane="bottomRight" state="frozen"/>
      <selection pane="topRight" activeCell="D1" sqref="D1"/>
      <selection pane="bottomLeft" activeCell="A41" sqref="A41"/>
      <selection pane="bottomRight" activeCell="Q65" sqref="Q65"/>
    </sheetView>
  </sheetViews>
  <sheetFormatPr defaultColWidth="8.7109375" defaultRowHeight="15" x14ac:dyDescent="0.25"/>
  <cols>
    <col min="1" max="1" width="1.5703125" customWidth="1"/>
    <col min="2" max="2" width="40" customWidth="1"/>
    <col min="3" max="3" width="16" customWidth="1"/>
    <col min="4" max="13" width="13" customWidth="1"/>
  </cols>
  <sheetData>
    <row r="2" spans="2:14" ht="24" customHeight="1" x14ac:dyDescent="0.25">
      <c r="B2" s="108" t="s">
        <v>624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4" spans="2:14" ht="15" customHeight="1" x14ac:dyDescent="0.25">
      <c r="B4" s="9" t="s">
        <v>625</v>
      </c>
      <c r="C4" s="9" t="s">
        <v>626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4" ht="21.75" customHeight="1" x14ac:dyDescent="0.25">
      <c r="B5" s="110" t="s">
        <v>627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</row>
    <row r="6" spans="2:14" ht="15" customHeight="1" x14ac:dyDescent="0.25">
      <c r="B6" s="75" t="s">
        <v>628</v>
      </c>
      <c r="C6" s="88">
        <v>18</v>
      </c>
      <c r="D6" s="76">
        <v>10</v>
      </c>
      <c r="E6" s="76">
        <v>14</v>
      </c>
      <c r="F6" s="76">
        <v>17</v>
      </c>
      <c r="G6" s="76">
        <v>19</v>
      </c>
      <c r="H6" s="76">
        <v>20</v>
      </c>
      <c r="I6" s="76">
        <v>21</v>
      </c>
      <c r="J6" s="76">
        <v>22</v>
      </c>
      <c r="K6" s="76">
        <v>22</v>
      </c>
      <c r="L6" s="76">
        <v>22</v>
      </c>
      <c r="M6" s="76">
        <v>22</v>
      </c>
    </row>
    <row r="7" spans="2:14" ht="15" customHeight="1" x14ac:dyDescent="0.25">
      <c r="B7" s="75" t="s">
        <v>629</v>
      </c>
      <c r="C7" s="88">
        <v>25</v>
      </c>
      <c r="D7" s="76">
        <v>8</v>
      </c>
      <c r="E7" s="76">
        <v>11</v>
      </c>
      <c r="F7" s="76">
        <v>13</v>
      </c>
      <c r="G7" s="76">
        <v>15</v>
      </c>
      <c r="H7" s="76">
        <v>16</v>
      </c>
      <c r="I7" s="76">
        <v>17</v>
      </c>
      <c r="J7" s="76">
        <v>17</v>
      </c>
      <c r="K7" s="76">
        <v>18</v>
      </c>
      <c r="L7" s="76">
        <v>18</v>
      </c>
      <c r="M7" s="76">
        <v>18</v>
      </c>
    </row>
    <row r="8" spans="2:14" ht="15" customHeight="1" x14ac:dyDescent="0.25">
      <c r="B8" s="75" t="s">
        <v>630</v>
      </c>
      <c r="C8" s="88">
        <v>28</v>
      </c>
      <c r="D8" s="76">
        <v>4</v>
      </c>
      <c r="E8" s="76">
        <v>6</v>
      </c>
      <c r="F8" s="76">
        <v>7</v>
      </c>
      <c r="G8" s="76">
        <v>8</v>
      </c>
      <c r="H8" s="76">
        <v>9</v>
      </c>
      <c r="I8" s="76">
        <v>9</v>
      </c>
      <c r="J8" s="76">
        <v>10</v>
      </c>
      <c r="K8" s="76">
        <v>10</v>
      </c>
      <c r="L8" s="76">
        <v>10</v>
      </c>
      <c r="M8" s="76">
        <v>10</v>
      </c>
    </row>
    <row r="9" spans="2:14" ht="15" customHeight="1" x14ac:dyDescent="0.25">
      <c r="B9" s="75" t="s">
        <v>631</v>
      </c>
      <c r="C9" s="88">
        <v>18</v>
      </c>
      <c r="D9" s="76">
        <v>7</v>
      </c>
      <c r="E9" s="76">
        <v>10</v>
      </c>
      <c r="F9" s="76">
        <v>12</v>
      </c>
      <c r="G9" s="76">
        <v>13</v>
      </c>
      <c r="H9" s="76">
        <v>14</v>
      </c>
      <c r="I9" s="76">
        <v>15</v>
      </c>
      <c r="J9" s="76">
        <v>16</v>
      </c>
      <c r="K9" s="76">
        <v>16</v>
      </c>
      <c r="L9" s="76">
        <v>17</v>
      </c>
      <c r="M9" s="76">
        <v>17</v>
      </c>
    </row>
    <row r="10" spans="2:14" ht="15" customHeight="1" x14ac:dyDescent="0.25">
      <c r="B10" s="75" t="s">
        <v>632</v>
      </c>
      <c r="C10" s="88">
        <v>18</v>
      </c>
      <c r="D10" s="76">
        <v>5</v>
      </c>
      <c r="E10" s="76">
        <v>8</v>
      </c>
      <c r="F10" s="76">
        <v>10</v>
      </c>
      <c r="G10" s="76">
        <v>12</v>
      </c>
      <c r="H10" s="76">
        <v>13</v>
      </c>
      <c r="I10" s="76">
        <v>14</v>
      </c>
      <c r="J10" s="76">
        <v>14</v>
      </c>
      <c r="K10" s="76">
        <v>15</v>
      </c>
      <c r="L10" s="76">
        <v>15</v>
      </c>
      <c r="M10" s="76">
        <v>15</v>
      </c>
    </row>
    <row r="11" spans="2:14" ht="15" customHeight="1" x14ac:dyDescent="0.25">
      <c r="B11" s="75" t="s">
        <v>633</v>
      </c>
      <c r="C11" s="88">
        <v>18</v>
      </c>
      <c r="D11" s="76">
        <v>4</v>
      </c>
      <c r="E11" s="76">
        <v>6</v>
      </c>
      <c r="F11" s="76">
        <v>8</v>
      </c>
      <c r="G11" s="76">
        <v>9</v>
      </c>
      <c r="H11" s="76">
        <v>10</v>
      </c>
      <c r="I11" s="76">
        <v>11</v>
      </c>
      <c r="J11" s="76">
        <v>11</v>
      </c>
      <c r="K11" s="76">
        <v>12</v>
      </c>
      <c r="L11" s="76">
        <v>12</v>
      </c>
      <c r="M11" s="76">
        <v>12</v>
      </c>
    </row>
    <row r="12" spans="2:14" ht="15" customHeight="1" x14ac:dyDescent="0.25">
      <c r="B12" s="75" t="s">
        <v>634</v>
      </c>
      <c r="C12" s="88">
        <v>22</v>
      </c>
      <c r="D12" s="76">
        <v>0</v>
      </c>
      <c r="E12" s="76">
        <v>1</v>
      </c>
      <c r="F12" s="76">
        <v>3</v>
      </c>
      <c r="G12" s="76">
        <v>6</v>
      </c>
      <c r="H12" s="76">
        <v>9</v>
      </c>
      <c r="I12" s="76">
        <v>11</v>
      </c>
      <c r="J12" s="76">
        <v>12</v>
      </c>
      <c r="K12" s="76">
        <v>13</v>
      </c>
      <c r="L12" s="76">
        <v>13</v>
      </c>
      <c r="M12" s="76">
        <v>13</v>
      </c>
    </row>
    <row r="13" spans="2:14" ht="15" customHeight="1" x14ac:dyDescent="0.25">
      <c r="B13" s="75" t="s">
        <v>635</v>
      </c>
      <c r="C13" s="88">
        <v>32</v>
      </c>
      <c r="D13" s="76">
        <v>0</v>
      </c>
      <c r="E13" s="76">
        <v>1</v>
      </c>
      <c r="F13" s="76">
        <v>3</v>
      </c>
      <c r="G13" s="76">
        <v>5</v>
      </c>
      <c r="H13" s="76">
        <v>7</v>
      </c>
      <c r="I13" s="76">
        <v>9</v>
      </c>
      <c r="J13" s="76">
        <v>10</v>
      </c>
      <c r="K13" s="76">
        <v>11</v>
      </c>
      <c r="L13" s="76">
        <v>11</v>
      </c>
      <c r="M13" s="76">
        <v>11</v>
      </c>
    </row>
    <row r="14" spans="2:14" ht="15" customHeight="1" x14ac:dyDescent="0.25">
      <c r="B14" s="75" t="s">
        <v>636</v>
      </c>
      <c r="C14" s="88">
        <v>32</v>
      </c>
      <c r="D14" s="76">
        <v>2</v>
      </c>
      <c r="E14" s="76">
        <v>4</v>
      </c>
      <c r="F14" s="76">
        <v>6</v>
      </c>
      <c r="G14" s="76">
        <v>9</v>
      </c>
      <c r="H14" s="76">
        <v>11</v>
      </c>
      <c r="I14" s="76">
        <v>12</v>
      </c>
      <c r="J14" s="76">
        <v>13</v>
      </c>
      <c r="K14" s="76">
        <v>14</v>
      </c>
      <c r="L14" s="76">
        <v>14</v>
      </c>
      <c r="M14" s="76">
        <v>14</v>
      </c>
    </row>
    <row r="15" spans="2:14" ht="15" customHeight="1" x14ac:dyDescent="0.25">
      <c r="B15" s="75" t="s">
        <v>637</v>
      </c>
      <c r="C15" s="88">
        <v>40</v>
      </c>
      <c r="D15" s="76">
        <v>6</v>
      </c>
      <c r="E15" s="76">
        <v>9</v>
      </c>
      <c r="F15" s="76">
        <v>11</v>
      </c>
      <c r="G15" s="76">
        <v>13</v>
      </c>
      <c r="H15" s="76">
        <v>14</v>
      </c>
      <c r="I15" s="76">
        <v>15</v>
      </c>
      <c r="J15" s="76">
        <v>16</v>
      </c>
      <c r="K15" s="76">
        <v>17</v>
      </c>
      <c r="L15" s="76">
        <v>17</v>
      </c>
      <c r="M15" s="76">
        <v>17</v>
      </c>
    </row>
    <row r="16" spans="2:14" ht="15" customHeight="1" x14ac:dyDescent="0.25">
      <c r="B16" s="75" t="s">
        <v>638</v>
      </c>
      <c r="C16" s="88">
        <v>14</v>
      </c>
      <c r="D16" s="76">
        <v>2</v>
      </c>
      <c r="E16" s="76">
        <v>3</v>
      </c>
      <c r="F16" s="76">
        <v>4</v>
      </c>
      <c r="G16" s="76">
        <v>5</v>
      </c>
      <c r="H16" s="76">
        <v>6</v>
      </c>
      <c r="I16" s="76">
        <v>7</v>
      </c>
      <c r="J16" s="76">
        <v>7</v>
      </c>
      <c r="K16" s="76">
        <v>8</v>
      </c>
      <c r="L16" s="76">
        <v>8</v>
      </c>
      <c r="M16" s="76">
        <v>8</v>
      </c>
    </row>
    <row r="17" spans="2:13" ht="15" customHeight="1" x14ac:dyDescent="0.25">
      <c r="B17" s="75" t="s">
        <v>639</v>
      </c>
      <c r="C17" s="88">
        <v>14</v>
      </c>
      <c r="D17" s="76">
        <v>4</v>
      </c>
      <c r="E17" s="76">
        <v>7</v>
      </c>
      <c r="F17" s="76">
        <v>10</v>
      </c>
      <c r="G17" s="76">
        <v>12</v>
      </c>
      <c r="H17" s="76">
        <v>14</v>
      </c>
      <c r="I17" s="76">
        <v>16</v>
      </c>
      <c r="J17" s="76">
        <v>17</v>
      </c>
      <c r="K17" s="76">
        <v>18</v>
      </c>
      <c r="L17" s="76">
        <v>19</v>
      </c>
      <c r="M17" s="76">
        <v>20</v>
      </c>
    </row>
    <row r="18" spans="2:13" ht="15" customHeight="1" x14ac:dyDescent="0.25">
      <c r="B18" s="75" t="s">
        <v>640</v>
      </c>
      <c r="C18" s="88">
        <v>35</v>
      </c>
      <c r="D18" s="76">
        <v>1</v>
      </c>
      <c r="E18" s="76">
        <v>2</v>
      </c>
      <c r="F18" s="76">
        <v>3</v>
      </c>
      <c r="G18" s="76">
        <v>5</v>
      </c>
      <c r="H18" s="76">
        <v>6</v>
      </c>
      <c r="I18" s="76">
        <v>7</v>
      </c>
      <c r="J18" s="76">
        <v>7</v>
      </c>
      <c r="K18" s="76">
        <v>8</v>
      </c>
      <c r="L18" s="76">
        <v>8</v>
      </c>
      <c r="M18" s="76">
        <v>9</v>
      </c>
    </row>
    <row r="19" spans="2:13" ht="15" customHeight="1" x14ac:dyDescent="0.25">
      <c r="B19" s="75" t="s">
        <v>641</v>
      </c>
      <c r="C19" s="88">
        <v>16</v>
      </c>
      <c r="D19" s="76">
        <v>3</v>
      </c>
      <c r="E19" s="76">
        <v>6</v>
      </c>
      <c r="F19" s="76">
        <v>9</v>
      </c>
      <c r="G19" s="76">
        <v>11</v>
      </c>
      <c r="H19" s="76">
        <v>12</v>
      </c>
      <c r="I19" s="76">
        <v>13</v>
      </c>
      <c r="J19" s="76">
        <v>14</v>
      </c>
      <c r="K19" s="76">
        <v>14</v>
      </c>
      <c r="L19" s="76">
        <v>15</v>
      </c>
      <c r="M19" s="76">
        <v>15</v>
      </c>
    </row>
    <row r="20" spans="2:13" ht="15" customHeight="1" x14ac:dyDescent="0.25">
      <c r="B20" s="75" t="s">
        <v>642</v>
      </c>
      <c r="C20" s="88">
        <v>12</v>
      </c>
      <c r="D20" s="76">
        <v>0</v>
      </c>
      <c r="E20" s="76">
        <v>1</v>
      </c>
      <c r="F20" s="76">
        <v>2</v>
      </c>
      <c r="G20" s="76">
        <v>3</v>
      </c>
      <c r="H20" s="76">
        <v>4</v>
      </c>
      <c r="I20" s="76">
        <v>4</v>
      </c>
      <c r="J20" s="76">
        <v>5</v>
      </c>
      <c r="K20" s="76">
        <v>5</v>
      </c>
      <c r="L20" s="76">
        <v>5</v>
      </c>
      <c r="M20" s="76">
        <v>5</v>
      </c>
    </row>
    <row r="21" spans="2:13" ht="15" customHeight="1" x14ac:dyDescent="0.25">
      <c r="B21" s="75" t="s">
        <v>643</v>
      </c>
      <c r="C21" s="88">
        <v>22</v>
      </c>
      <c r="D21" s="76">
        <v>3</v>
      </c>
      <c r="E21" s="76">
        <v>7</v>
      </c>
      <c r="F21" s="76">
        <v>11</v>
      </c>
      <c r="G21" s="76">
        <v>17</v>
      </c>
      <c r="H21" s="76">
        <v>22</v>
      </c>
      <c r="I21" s="76">
        <v>29</v>
      </c>
      <c r="J21" s="76">
        <v>36</v>
      </c>
      <c r="K21" s="76">
        <v>38</v>
      </c>
      <c r="L21" s="76">
        <v>40</v>
      </c>
      <c r="M21" s="76">
        <v>40</v>
      </c>
    </row>
    <row r="22" spans="2:13" ht="15" customHeight="1" x14ac:dyDescent="0.25">
      <c r="B22" s="75" t="s">
        <v>644</v>
      </c>
      <c r="C22" s="88">
        <v>11</v>
      </c>
      <c r="D22" s="76">
        <v>8</v>
      </c>
      <c r="E22" s="76">
        <v>18</v>
      </c>
      <c r="F22" s="76">
        <v>29</v>
      </c>
      <c r="G22" s="76">
        <v>45</v>
      </c>
      <c r="H22" s="76">
        <v>64</v>
      </c>
      <c r="I22" s="76">
        <v>86</v>
      </c>
      <c r="J22" s="76">
        <v>110</v>
      </c>
      <c r="K22" s="76">
        <v>120</v>
      </c>
      <c r="L22" s="76">
        <v>128</v>
      </c>
      <c r="M22" s="76">
        <v>136</v>
      </c>
    </row>
    <row r="23" spans="2:13" ht="15" customHeight="1" x14ac:dyDescent="0.25">
      <c r="B23" s="75" t="s">
        <v>645</v>
      </c>
      <c r="C23" s="88">
        <v>9</v>
      </c>
      <c r="D23" s="76">
        <v>3</v>
      </c>
      <c r="E23" s="76">
        <v>6</v>
      </c>
      <c r="F23" s="76">
        <v>8</v>
      </c>
      <c r="G23" s="76">
        <v>13</v>
      </c>
      <c r="H23" s="76">
        <v>16</v>
      </c>
      <c r="I23" s="76">
        <v>20</v>
      </c>
      <c r="J23" s="76">
        <v>24</v>
      </c>
      <c r="K23" s="76">
        <v>24</v>
      </c>
      <c r="L23" s="76">
        <v>26</v>
      </c>
      <c r="M23" s="76">
        <v>26</v>
      </c>
    </row>
    <row r="24" spans="2:13" ht="15" customHeight="1" x14ac:dyDescent="0.25">
      <c r="B24" s="75" t="s">
        <v>646</v>
      </c>
      <c r="C24" s="88">
        <v>11</v>
      </c>
      <c r="D24" s="76">
        <v>2</v>
      </c>
      <c r="E24" s="76">
        <v>6</v>
      </c>
      <c r="F24" s="76">
        <v>11</v>
      </c>
      <c r="G24" s="76">
        <v>18</v>
      </c>
      <c r="H24" s="76">
        <v>27</v>
      </c>
      <c r="I24" s="76">
        <v>38</v>
      </c>
      <c r="J24" s="76">
        <v>48</v>
      </c>
      <c r="K24" s="76">
        <v>54</v>
      </c>
      <c r="L24" s="76">
        <v>58</v>
      </c>
      <c r="M24" s="76">
        <v>60</v>
      </c>
    </row>
    <row r="25" spans="2:13" ht="15" customHeight="1" x14ac:dyDescent="0.25">
      <c r="B25" s="75" t="s">
        <v>647</v>
      </c>
      <c r="C25" s="88">
        <v>12</v>
      </c>
      <c r="D25" s="76">
        <v>3</v>
      </c>
      <c r="E25" s="76">
        <v>5</v>
      </c>
      <c r="F25" s="76">
        <v>7</v>
      </c>
      <c r="G25" s="76">
        <v>9</v>
      </c>
      <c r="H25" s="76">
        <v>10</v>
      </c>
      <c r="I25" s="76">
        <v>11</v>
      </c>
      <c r="J25" s="76">
        <v>12</v>
      </c>
      <c r="K25" s="76">
        <v>13</v>
      </c>
      <c r="L25" s="76">
        <v>14</v>
      </c>
      <c r="M25" s="76">
        <v>14</v>
      </c>
    </row>
    <row r="26" spans="2:13" ht="15" customHeight="1" x14ac:dyDescent="0.25">
      <c r="B26" s="75" t="s">
        <v>648</v>
      </c>
      <c r="C26" s="88">
        <v>22</v>
      </c>
      <c r="D26" s="76">
        <v>2</v>
      </c>
      <c r="E26" s="76">
        <v>4</v>
      </c>
      <c r="F26" s="76">
        <v>6</v>
      </c>
      <c r="G26" s="76">
        <v>7</v>
      </c>
      <c r="H26" s="76">
        <v>8</v>
      </c>
      <c r="I26" s="76">
        <v>9</v>
      </c>
      <c r="J26" s="76">
        <v>10</v>
      </c>
      <c r="K26" s="76">
        <v>11</v>
      </c>
      <c r="L26" s="76">
        <v>11</v>
      </c>
      <c r="M26" s="76">
        <v>12</v>
      </c>
    </row>
    <row r="27" spans="2:13" ht="15" customHeight="1" x14ac:dyDescent="0.25">
      <c r="B27" s="75" t="s">
        <v>649</v>
      </c>
      <c r="C27" s="88">
        <v>22</v>
      </c>
      <c r="D27" s="76">
        <v>1</v>
      </c>
      <c r="E27" s="76">
        <v>2</v>
      </c>
      <c r="F27" s="76">
        <v>3</v>
      </c>
      <c r="G27" s="76">
        <v>4</v>
      </c>
      <c r="H27" s="76">
        <v>5</v>
      </c>
      <c r="I27" s="76">
        <v>5</v>
      </c>
      <c r="J27" s="76">
        <v>6</v>
      </c>
      <c r="K27" s="76">
        <v>6</v>
      </c>
      <c r="L27" s="76">
        <v>7</v>
      </c>
      <c r="M27" s="76">
        <v>7</v>
      </c>
    </row>
    <row r="28" spans="2:13" ht="15" customHeight="1" x14ac:dyDescent="0.25">
      <c r="B28" s="75" t="s">
        <v>650</v>
      </c>
      <c r="C28" s="88">
        <v>20</v>
      </c>
      <c r="D28" s="76">
        <v>5</v>
      </c>
      <c r="E28" s="76">
        <v>6</v>
      </c>
      <c r="F28" s="76">
        <v>7</v>
      </c>
      <c r="G28" s="76">
        <v>8</v>
      </c>
      <c r="H28" s="76">
        <v>8</v>
      </c>
      <c r="I28" s="76">
        <v>9</v>
      </c>
      <c r="J28" s="76">
        <v>9</v>
      </c>
      <c r="K28" s="76">
        <v>10</v>
      </c>
      <c r="L28" s="76">
        <v>10</v>
      </c>
      <c r="M28" s="76">
        <v>10</v>
      </c>
    </row>
    <row r="29" spans="2:13" ht="15" customHeight="1" x14ac:dyDescent="0.25">
      <c r="B29" s="75" t="s">
        <v>651</v>
      </c>
      <c r="C29" s="88">
        <v>32</v>
      </c>
      <c r="D29" s="76">
        <v>2</v>
      </c>
      <c r="E29" s="76">
        <v>3</v>
      </c>
      <c r="F29" s="76">
        <v>4</v>
      </c>
      <c r="G29" s="76">
        <v>5</v>
      </c>
      <c r="H29" s="76">
        <v>6</v>
      </c>
      <c r="I29" s="76">
        <v>6</v>
      </c>
      <c r="J29" s="76">
        <v>7</v>
      </c>
      <c r="K29" s="76">
        <v>7</v>
      </c>
      <c r="L29" s="76">
        <v>8</v>
      </c>
      <c r="M29" s="76">
        <v>8</v>
      </c>
    </row>
    <row r="30" spans="2:13" ht="15" customHeight="1" x14ac:dyDescent="0.25">
      <c r="B30" s="75" t="s">
        <v>652</v>
      </c>
      <c r="C30" s="88">
        <v>9</v>
      </c>
      <c r="D30" s="76">
        <v>1</v>
      </c>
      <c r="E30" s="76">
        <v>2</v>
      </c>
      <c r="F30" s="76">
        <v>3</v>
      </c>
      <c r="G30" s="76">
        <v>4</v>
      </c>
      <c r="H30" s="76">
        <v>5</v>
      </c>
      <c r="I30" s="76">
        <v>5</v>
      </c>
      <c r="J30" s="76">
        <v>6</v>
      </c>
      <c r="K30" s="76">
        <v>6</v>
      </c>
      <c r="L30" s="76">
        <v>6</v>
      </c>
      <c r="M30" s="76">
        <v>6</v>
      </c>
    </row>
    <row r="31" spans="2:13" ht="15" customHeight="1" x14ac:dyDescent="0.25">
      <c r="B31" s="75" t="s">
        <v>653</v>
      </c>
      <c r="C31" s="88">
        <v>10</v>
      </c>
      <c r="D31" s="76">
        <v>1</v>
      </c>
      <c r="E31" s="76">
        <v>2</v>
      </c>
      <c r="F31" s="76">
        <v>2</v>
      </c>
      <c r="G31" s="76">
        <v>3</v>
      </c>
      <c r="H31" s="76">
        <v>3</v>
      </c>
      <c r="I31" s="76">
        <v>4</v>
      </c>
      <c r="J31" s="76">
        <v>4</v>
      </c>
      <c r="K31" s="76">
        <v>4</v>
      </c>
      <c r="L31" s="76">
        <v>4</v>
      </c>
      <c r="M31" s="76">
        <v>4</v>
      </c>
    </row>
    <row r="32" spans="2:13" ht="15" customHeight="1" x14ac:dyDescent="0.25">
      <c r="B32" s="75" t="s">
        <v>654</v>
      </c>
      <c r="C32" s="88">
        <v>12</v>
      </c>
      <c r="D32" s="76">
        <v>2</v>
      </c>
      <c r="E32" s="76">
        <v>3</v>
      </c>
      <c r="F32" s="76">
        <v>3</v>
      </c>
      <c r="G32" s="76">
        <v>4</v>
      </c>
      <c r="H32" s="76">
        <v>4</v>
      </c>
      <c r="I32" s="76">
        <v>5</v>
      </c>
      <c r="J32" s="76">
        <v>5</v>
      </c>
      <c r="K32" s="76">
        <v>5</v>
      </c>
      <c r="L32" s="76">
        <v>6</v>
      </c>
      <c r="M32" s="76">
        <v>6</v>
      </c>
    </row>
    <row r="33" spans="2:14" ht="15" customHeight="1" x14ac:dyDescent="0.25">
      <c r="B33" s="75" t="s">
        <v>655</v>
      </c>
      <c r="C33" s="88">
        <v>12</v>
      </c>
      <c r="D33" s="76">
        <v>2</v>
      </c>
      <c r="E33" s="76">
        <v>3</v>
      </c>
      <c r="F33" s="76">
        <v>4</v>
      </c>
      <c r="G33" s="76">
        <v>5</v>
      </c>
      <c r="H33" s="76">
        <v>6</v>
      </c>
      <c r="I33" s="76">
        <v>6</v>
      </c>
      <c r="J33" s="76">
        <v>7</v>
      </c>
      <c r="K33" s="76">
        <v>7</v>
      </c>
      <c r="L33" s="76">
        <v>8</v>
      </c>
      <c r="M33" s="76">
        <v>8</v>
      </c>
    </row>
    <row r="34" spans="2:14" ht="15" customHeight="1" x14ac:dyDescent="0.25">
      <c r="B34" s="41" t="s">
        <v>83</v>
      </c>
      <c r="C34">
        <v>18</v>
      </c>
      <c r="D34" s="79">
        <f t="shared" ref="D34:M34" si="0">SUM(D6:D33)</f>
        <v>91</v>
      </c>
      <c r="E34" s="79">
        <f t="shared" si="0"/>
        <v>156</v>
      </c>
      <c r="F34" s="79">
        <f t="shared" si="0"/>
        <v>216</v>
      </c>
      <c r="G34" s="79">
        <f t="shared" si="0"/>
        <v>287</v>
      </c>
      <c r="H34" s="79">
        <f t="shared" si="0"/>
        <v>349</v>
      </c>
      <c r="I34" s="79">
        <f t="shared" si="0"/>
        <v>414</v>
      </c>
      <c r="J34" s="79">
        <f t="shared" si="0"/>
        <v>475</v>
      </c>
      <c r="K34" s="79">
        <f t="shared" si="0"/>
        <v>506</v>
      </c>
      <c r="L34" s="79">
        <f t="shared" si="0"/>
        <v>530</v>
      </c>
      <c r="M34" s="79">
        <f t="shared" si="0"/>
        <v>543</v>
      </c>
    </row>
    <row r="36" spans="2:14" ht="21.75" customHeight="1" x14ac:dyDescent="0.25">
      <c r="B36" s="110" t="s">
        <v>656</v>
      </c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</row>
    <row r="37" spans="2:14" ht="15" customHeight="1" x14ac:dyDescent="0.25">
      <c r="B37" s="75" t="s">
        <v>657</v>
      </c>
      <c r="C37" s="42" t="s">
        <v>658</v>
      </c>
      <c r="D37" s="14">
        <f>C6*(1+Assumptions!$C$9)^0*D6/100</f>
        <v>1.8</v>
      </c>
      <c r="E37" s="14">
        <f>C6*(1+Assumptions!$C$9)^1*E6/100</f>
        <v>2.6208</v>
      </c>
      <c r="F37" s="14">
        <f>C6*(1+Assumptions!$C$9)^2*F6/100</f>
        <v>3.3096960000000002</v>
      </c>
      <c r="G37" s="14">
        <f>C6*(1+Assumptions!$C$9)^3*G6/100</f>
        <v>3.8470348800000007</v>
      </c>
      <c r="H37" s="14">
        <f>C6*(1+Assumptions!$C$9)^4*H6/100</f>
        <v>4.2114908160000004</v>
      </c>
      <c r="I37" s="14">
        <f>C6*(1+Assumptions!$C$9)^5*I6/100</f>
        <v>4.5989479710720014</v>
      </c>
      <c r="J37" s="14">
        <f>C6*(1+Assumptions!$C$9)^6*J6/100</f>
        <v>5.0106633132441623</v>
      </c>
      <c r="K37" s="14">
        <f>C6*(1+Assumptions!$C$9)^7*K6/100</f>
        <v>5.2110898457739268</v>
      </c>
      <c r="L37" s="14">
        <f>C6*(1+Assumptions!$C$9)^8*L6/100</f>
        <v>5.4195334396048853</v>
      </c>
      <c r="M37" s="14">
        <f>C6*(1+Assumptions!$C$9)^9*M6/100</f>
        <v>5.6363147771890816</v>
      </c>
    </row>
    <row r="38" spans="2:14" ht="15" customHeight="1" x14ac:dyDescent="0.25">
      <c r="B38" s="75" t="s">
        <v>659</v>
      </c>
      <c r="C38" s="42" t="s">
        <v>658</v>
      </c>
      <c r="D38" s="14">
        <f>C7*(1+Assumptions!$C$9)^0*D7/100</f>
        <v>2</v>
      </c>
      <c r="E38" s="14">
        <f>C7*(1+Assumptions!$C$9)^1*E7/100</f>
        <v>2.86</v>
      </c>
      <c r="F38" s="14">
        <f>C7*(1+Assumptions!$C$9)^2*F7/100</f>
        <v>3.5152000000000005</v>
      </c>
      <c r="G38" s="14">
        <f>C7*(1+Assumptions!$C$9)^3*G7/100</f>
        <v>4.2182399999999998</v>
      </c>
      <c r="H38" s="14">
        <f>C7*(1+Assumptions!$C$9)^4*H7/100</f>
        <v>4.6794342400000009</v>
      </c>
      <c r="I38" s="14">
        <f>C7*(1+Assumptions!$C$9)^5*I7/100</f>
        <v>5.1707748352000014</v>
      </c>
      <c r="J38" s="14">
        <f>C7*(1+Assumptions!$C$9)^6*J7/100</f>
        <v>5.3776058286080008</v>
      </c>
      <c r="K38" s="14">
        <f>C7*(1+Assumptions!$C$9)^7*K7/100</f>
        <v>5.9216930065612816</v>
      </c>
      <c r="L38" s="14">
        <f>C7*(1+Assumptions!$C$9)^8*L7/100</f>
        <v>6.1585607268237332</v>
      </c>
      <c r="M38" s="14">
        <f>C7*(1+Assumptions!$C$9)^9*M7/100</f>
        <v>6.4049031558966831</v>
      </c>
    </row>
    <row r="39" spans="2:14" ht="15" customHeight="1" x14ac:dyDescent="0.25">
      <c r="B39" s="75" t="s">
        <v>660</v>
      </c>
      <c r="C39" s="42" t="s">
        <v>658</v>
      </c>
      <c r="D39" s="14">
        <f>C8*(1+Assumptions!$C$9)^0*D8/100</f>
        <v>1.1200000000000001</v>
      </c>
      <c r="E39" s="14">
        <f>C8*(1+Assumptions!$C$9)^1*E8/100</f>
        <v>1.7472000000000001</v>
      </c>
      <c r="F39" s="14">
        <f>C8*(1+Assumptions!$C$9)^2*F8/100</f>
        <v>2.119936</v>
      </c>
      <c r="G39" s="14">
        <f>C8*(1+Assumptions!$C$9)^3*G8/100</f>
        <v>2.5196953600000001</v>
      </c>
      <c r="H39" s="14">
        <f>C8*(1+Assumptions!$C$9)^4*H8/100</f>
        <v>2.9480435712000008</v>
      </c>
      <c r="I39" s="14">
        <f>C8*(1+Assumptions!$C$9)^5*I8/100</f>
        <v>3.0659653140480008</v>
      </c>
      <c r="J39" s="14">
        <f>C8*(1+Assumptions!$C$9)^6*J8/100</f>
        <v>3.5428932517888008</v>
      </c>
      <c r="K39" s="14">
        <f>C8*(1+Assumptions!$C$9)^7*K8/100</f>
        <v>3.6846089818603529</v>
      </c>
      <c r="L39" s="14">
        <f>C8*(1+Assumptions!$C$9)^8*L8/100</f>
        <v>3.8319933411347677</v>
      </c>
      <c r="M39" s="14">
        <f>C8*(1+Assumptions!$C$9)^9*M8/100</f>
        <v>3.9852730747801588</v>
      </c>
    </row>
    <row r="40" spans="2:14" ht="15" customHeight="1" x14ac:dyDescent="0.25">
      <c r="B40" s="75" t="s">
        <v>661</v>
      </c>
      <c r="C40" s="42" t="s">
        <v>658</v>
      </c>
      <c r="D40" s="14">
        <f>C9*(1+Assumptions!$C$9)^0*D9/100</f>
        <v>1.26</v>
      </c>
      <c r="E40" s="14">
        <f>C9*(1+Assumptions!$C$9)^1*E9/100</f>
        <v>1.8719999999999999</v>
      </c>
      <c r="F40" s="14">
        <f>C9*(1+Assumptions!$C$9)^2*F9/100</f>
        <v>2.3362560000000001</v>
      </c>
      <c r="G40" s="14">
        <f>C9*(1+Assumptions!$C$9)^3*G9/100</f>
        <v>2.6321817600000004</v>
      </c>
      <c r="H40" s="14">
        <f>C9*(1+Assumptions!$C$9)^4*H9/100</f>
        <v>2.9480435712000004</v>
      </c>
      <c r="I40" s="14">
        <f>C9*(1+Assumptions!$C$9)^5*I9/100</f>
        <v>3.284962836480001</v>
      </c>
      <c r="J40" s="14">
        <f>C9*(1+Assumptions!$C$9)^6*J9/100</f>
        <v>3.6441187732684814</v>
      </c>
      <c r="K40" s="14">
        <f>C9*(1+Assumptions!$C$9)^7*K9/100</f>
        <v>3.7898835241992197</v>
      </c>
      <c r="L40" s="14">
        <f>C9*(1+Assumptions!$C$9)^8*L9/100</f>
        <v>4.1878212942401385</v>
      </c>
      <c r="M40" s="14">
        <f>C9*(1+Assumptions!$C$9)^9*M9/100</f>
        <v>4.3553341460097439</v>
      </c>
    </row>
    <row r="41" spans="2:14" ht="15" customHeight="1" x14ac:dyDescent="0.25">
      <c r="B41" s="75" t="s">
        <v>662</v>
      </c>
      <c r="C41" s="42" t="s">
        <v>658</v>
      </c>
      <c r="D41" s="14">
        <f>C10*(1+Assumptions!$C$9)^0*D10/100</f>
        <v>0.9</v>
      </c>
      <c r="E41" s="14">
        <f>C10*(1+Assumptions!$C$9)^1*E10/100</f>
        <v>1.4975999999999998</v>
      </c>
      <c r="F41" s="14">
        <f>C10*(1+Assumptions!$C$9)^2*F10/100</f>
        <v>1.9468800000000002</v>
      </c>
      <c r="G41" s="14">
        <f>C10*(1+Assumptions!$C$9)^3*G10/100</f>
        <v>2.4297062400000002</v>
      </c>
      <c r="H41" s="14">
        <f>C10*(1+Assumptions!$C$9)^4*H10/100</f>
        <v>2.7374690304000007</v>
      </c>
      <c r="I41" s="14">
        <f>C10*(1+Assumptions!$C$9)^5*I10/100</f>
        <v>3.0659653140480008</v>
      </c>
      <c r="J41" s="14">
        <f>C10*(1+Assumptions!$C$9)^6*J10/100</f>
        <v>3.1886039266099209</v>
      </c>
      <c r="K41" s="14">
        <f>C10*(1+Assumptions!$C$9)^7*K10/100</f>
        <v>3.5530158039367681</v>
      </c>
      <c r="L41" s="14">
        <f>C10*(1+Assumptions!$C$9)^8*L10/100</f>
        <v>3.6951364360942396</v>
      </c>
      <c r="M41" s="14">
        <f>C10*(1+Assumptions!$C$9)^9*M10/100</f>
        <v>3.84294189353801</v>
      </c>
    </row>
    <row r="42" spans="2:14" ht="15" customHeight="1" x14ac:dyDescent="0.25">
      <c r="B42" s="75" t="s">
        <v>663</v>
      </c>
      <c r="C42" s="42" t="s">
        <v>658</v>
      </c>
      <c r="D42" s="14">
        <f>C11*(1+Assumptions!$C$9)^0*D11/100</f>
        <v>0.72</v>
      </c>
      <c r="E42" s="14">
        <f>C11*(1+Assumptions!$C$9)^1*E11/100</f>
        <v>1.1232</v>
      </c>
      <c r="F42" s="14">
        <f>C11*(1+Assumptions!$C$9)^2*F11/100</f>
        <v>1.5575040000000002</v>
      </c>
      <c r="G42" s="14">
        <f>C11*(1+Assumptions!$C$9)^3*G11/100</f>
        <v>1.8222796800000003</v>
      </c>
      <c r="H42" s="14">
        <f>C11*(1+Assumptions!$C$9)^4*H11/100</f>
        <v>2.1057454080000002</v>
      </c>
      <c r="I42" s="14">
        <f>C11*(1+Assumptions!$C$9)^5*I11/100</f>
        <v>2.4089727467520006</v>
      </c>
      <c r="J42" s="14">
        <f>C11*(1+Assumptions!$C$9)^6*J11/100</f>
        <v>2.5053316566220811</v>
      </c>
      <c r="K42" s="14">
        <f>C11*(1+Assumptions!$C$9)^7*K11/100</f>
        <v>2.8424126431494146</v>
      </c>
      <c r="L42" s="14">
        <f>C11*(1+Assumptions!$C$9)^8*L11/100</f>
        <v>2.9561091488753921</v>
      </c>
      <c r="M42" s="14">
        <f>C11*(1+Assumptions!$C$9)^9*M11/100</f>
        <v>3.074353514830408</v>
      </c>
    </row>
    <row r="43" spans="2:14" ht="15" customHeight="1" x14ac:dyDescent="0.25">
      <c r="B43" s="75" t="s">
        <v>664</v>
      </c>
      <c r="C43" s="42" t="s">
        <v>658</v>
      </c>
      <c r="D43" s="14">
        <f>C12*(1+Assumptions!$C$9)^0*D12/100</f>
        <v>0</v>
      </c>
      <c r="E43" s="14">
        <f>C12*(1+Assumptions!$C$9)^1*E12/100</f>
        <v>0.22880000000000003</v>
      </c>
      <c r="F43" s="14">
        <f>C12*(1+Assumptions!$C$9)^2*F12/100</f>
        <v>0.71385600000000016</v>
      </c>
      <c r="G43" s="14">
        <f>C12*(1+Assumptions!$C$9)^3*G12/100</f>
        <v>1.4848204800000002</v>
      </c>
      <c r="H43" s="14">
        <f>C12*(1+Assumptions!$C$9)^4*H12/100</f>
        <v>2.3163199488000004</v>
      </c>
      <c r="I43" s="14">
        <f>C12*(1+Assumptions!$C$9)^5*I12/100</f>
        <v>2.944300023808001</v>
      </c>
      <c r="J43" s="14">
        <f>C12*(1+Assumptions!$C$9)^6*J12/100</f>
        <v>3.3404422088294412</v>
      </c>
      <c r="K43" s="14">
        <f>C12*(1+Assumptions!$C$9)^7*K12/100</f>
        <v>3.763564888614503</v>
      </c>
      <c r="L43" s="14">
        <f>C12*(1+Assumptions!$C$9)^8*L12/100</f>
        <v>3.9141074841590839</v>
      </c>
      <c r="M43" s="14">
        <f>C12*(1+Assumptions!$C$9)^9*M12/100</f>
        <v>4.070671783525448</v>
      </c>
    </row>
    <row r="44" spans="2:14" ht="15" customHeight="1" x14ac:dyDescent="0.25">
      <c r="B44" s="75" t="s">
        <v>665</v>
      </c>
      <c r="C44" s="42" t="s">
        <v>658</v>
      </c>
      <c r="D44" s="14">
        <f>C13*(1+Assumptions!$C$9)^0*D13/100</f>
        <v>0</v>
      </c>
      <c r="E44" s="14">
        <f>C13*(1+Assumptions!$C$9)^1*E13/100</f>
        <v>0.33279999999999998</v>
      </c>
      <c r="F44" s="14">
        <f>C13*(1+Assumptions!$C$9)^2*F13/100</f>
        <v>1.0383360000000001</v>
      </c>
      <c r="G44" s="14">
        <f>C13*(1+Assumptions!$C$9)^3*G13/100</f>
        <v>1.7997824000000002</v>
      </c>
      <c r="H44" s="14">
        <f>C13*(1+Assumptions!$C$9)^4*H13/100</f>
        <v>2.6204831744000008</v>
      </c>
      <c r="I44" s="14">
        <f>C13*(1+Assumptions!$C$9)^5*I13/100</f>
        <v>3.5039603589120007</v>
      </c>
      <c r="J44" s="14">
        <f>C13*(1+Assumptions!$C$9)^6*J13/100</f>
        <v>4.049020859187201</v>
      </c>
      <c r="K44" s="14">
        <f>C13*(1+Assumptions!$C$9)^7*K13/100</f>
        <v>4.6320798629101576</v>
      </c>
      <c r="L44" s="14">
        <f>C13*(1+Assumptions!$C$9)^8*L13/100</f>
        <v>4.8173630574265651</v>
      </c>
      <c r="M44" s="14">
        <f>C13*(1+Assumptions!$C$9)^9*M13/100</f>
        <v>5.010057579723628</v>
      </c>
    </row>
    <row r="45" spans="2:14" ht="15" customHeight="1" x14ac:dyDescent="0.25">
      <c r="B45" s="75" t="s">
        <v>666</v>
      </c>
      <c r="C45" s="42" t="s">
        <v>658</v>
      </c>
      <c r="D45" s="14">
        <f>C14*(1+Assumptions!$C$9)^0*D14/100</f>
        <v>0.64</v>
      </c>
      <c r="E45" s="14">
        <f>C14*(1+Assumptions!$C$9)^1*E14/100</f>
        <v>1.3311999999999999</v>
      </c>
      <c r="F45" s="14">
        <f>C14*(1+Assumptions!$C$9)^2*F14/100</f>
        <v>2.0766720000000003</v>
      </c>
      <c r="G45" s="14">
        <f>C14*(1+Assumptions!$C$9)^3*G14/100</f>
        <v>3.2396083200000003</v>
      </c>
      <c r="H45" s="14">
        <f>C14*(1+Assumptions!$C$9)^4*H14/100</f>
        <v>4.117902131200001</v>
      </c>
      <c r="I45" s="14">
        <f>C14*(1+Assumptions!$C$9)^5*I14/100</f>
        <v>4.6719471452160013</v>
      </c>
      <c r="J45" s="14">
        <f>C14*(1+Assumptions!$C$9)^6*J14/100</f>
        <v>5.2637271169433619</v>
      </c>
      <c r="K45" s="14">
        <f>C14*(1+Assumptions!$C$9)^7*K14/100</f>
        <v>5.8953743709765654</v>
      </c>
      <c r="L45" s="14">
        <f>C14*(1+Assumptions!$C$9)^8*L14/100</f>
        <v>6.1311893458156286</v>
      </c>
      <c r="M45" s="14">
        <f>C14*(1+Assumptions!$C$9)^9*M14/100</f>
        <v>6.3764369196482535</v>
      </c>
    </row>
    <row r="46" spans="2:14" ht="15" customHeight="1" x14ac:dyDescent="0.25">
      <c r="B46" s="75" t="s">
        <v>667</v>
      </c>
      <c r="C46" s="42" t="s">
        <v>658</v>
      </c>
      <c r="D46" s="14">
        <f>C15*(1+Assumptions!$C$9)^0*D15/100</f>
        <v>2.4</v>
      </c>
      <c r="E46" s="14">
        <f>C15*(1+Assumptions!$C$9)^1*E15/100</f>
        <v>3.7440000000000002</v>
      </c>
      <c r="F46" s="14">
        <f>C15*(1+Assumptions!$C$9)^2*F15/100</f>
        <v>4.7590400000000006</v>
      </c>
      <c r="G46" s="14">
        <f>C15*(1+Assumptions!$C$9)^3*G15/100</f>
        <v>5.8492928000000006</v>
      </c>
      <c r="H46" s="14">
        <f>C15*(1+Assumptions!$C$9)^4*H15/100</f>
        <v>6.5512079360000008</v>
      </c>
      <c r="I46" s="14">
        <f>C15*(1+Assumptions!$C$9)^5*I15/100</f>
        <v>7.2999174144000021</v>
      </c>
      <c r="J46" s="14">
        <f>C15*(1+Assumptions!$C$9)^6*J15/100</f>
        <v>8.098041718374402</v>
      </c>
      <c r="K46" s="14">
        <f>C15*(1+Assumptions!$C$9)^7*K15/100</f>
        <v>8.9483360988037131</v>
      </c>
      <c r="L46" s="14">
        <f>C15*(1+Assumptions!$C$9)^8*L15/100</f>
        <v>9.3062695427558637</v>
      </c>
      <c r="M46" s="14">
        <f>C15*(1+Assumptions!$C$9)^9*M15/100</f>
        <v>9.6785203244660991</v>
      </c>
    </row>
    <row r="47" spans="2:14" ht="15" customHeight="1" x14ac:dyDescent="0.25">
      <c r="B47" s="75" t="s">
        <v>668</v>
      </c>
      <c r="C47" s="42" t="s">
        <v>658</v>
      </c>
      <c r="D47" s="14">
        <f>C16*(1+Assumptions!$C$9)^0*D16/100</f>
        <v>0.28000000000000003</v>
      </c>
      <c r="E47" s="14">
        <f>C16*(1+Assumptions!$C$9)^1*E16/100</f>
        <v>0.43680000000000002</v>
      </c>
      <c r="F47" s="14">
        <f>C16*(1+Assumptions!$C$9)^2*F16/100</f>
        <v>0.60569600000000012</v>
      </c>
      <c r="G47" s="14">
        <f>C16*(1+Assumptions!$C$9)^3*G16/100</f>
        <v>0.78740480000000002</v>
      </c>
      <c r="H47" s="14">
        <f>C16*(1+Assumptions!$C$9)^4*H16/100</f>
        <v>0.98268119040000013</v>
      </c>
      <c r="I47" s="14">
        <f>C16*(1+Assumptions!$C$9)^5*I16/100</f>
        <v>1.1923198443520004</v>
      </c>
      <c r="J47" s="14">
        <f>C16*(1+Assumptions!$C$9)^6*J16/100</f>
        <v>1.2400126381260803</v>
      </c>
      <c r="K47" s="14">
        <f>C16*(1+Assumptions!$C$9)^7*K16/100</f>
        <v>1.4738435927441413</v>
      </c>
      <c r="L47" s="14">
        <f>C16*(1+Assumptions!$C$9)^8*L16/100</f>
        <v>1.5327973364539071</v>
      </c>
      <c r="M47" s="14">
        <f>C16*(1+Assumptions!$C$9)^9*M16/100</f>
        <v>1.5941092299120634</v>
      </c>
    </row>
    <row r="48" spans="2:14" ht="15" customHeight="1" x14ac:dyDescent="0.25">
      <c r="B48" s="75" t="s">
        <v>669</v>
      </c>
      <c r="C48" s="42" t="s">
        <v>658</v>
      </c>
      <c r="D48" s="14">
        <f>C17*(1+Assumptions!$C$9)^0*D17/100</f>
        <v>0.56000000000000005</v>
      </c>
      <c r="E48" s="14">
        <f>C17*(1+Assumptions!$C$9)^1*E17/100</f>
        <v>1.0192000000000001</v>
      </c>
      <c r="F48" s="14">
        <f>C17*(1+Assumptions!$C$9)^2*F17/100</f>
        <v>1.5142400000000003</v>
      </c>
      <c r="G48" s="14">
        <f>C17*(1+Assumptions!$C$9)^3*G17/100</f>
        <v>1.8897715199999998</v>
      </c>
      <c r="H48" s="14">
        <f>C17*(1+Assumptions!$C$9)^4*H17/100</f>
        <v>2.2929227776000003</v>
      </c>
      <c r="I48" s="14">
        <f>C17*(1+Assumptions!$C$9)^5*I17/100</f>
        <v>2.7253025013760008</v>
      </c>
      <c r="J48" s="14">
        <f>C17*(1+Assumptions!$C$9)^6*J17/100</f>
        <v>3.0114592640204809</v>
      </c>
      <c r="K48" s="14">
        <f>C17*(1+Assumptions!$C$9)^7*K17/100</f>
        <v>3.3161480836743182</v>
      </c>
      <c r="L48" s="14">
        <f>C17*(1+Assumptions!$C$9)^8*L17/100</f>
        <v>3.6403936740780294</v>
      </c>
      <c r="M48" s="14">
        <f>C17*(1+Assumptions!$C$9)^9*M17/100</f>
        <v>3.9852730747801588</v>
      </c>
    </row>
    <row r="49" spans="2:13" ht="15" customHeight="1" x14ac:dyDescent="0.25">
      <c r="B49" s="75" t="s">
        <v>670</v>
      </c>
      <c r="C49" s="42" t="s">
        <v>658</v>
      </c>
      <c r="D49" s="14">
        <f>C18*(1+Assumptions!$C$9)^0*D18/100</f>
        <v>0.35</v>
      </c>
      <c r="E49" s="14">
        <f>C18*(1+Assumptions!$C$9)^1*E18/100</f>
        <v>0.72799999999999998</v>
      </c>
      <c r="F49" s="14">
        <f>C18*(1+Assumptions!$C$9)^2*F18/100</f>
        <v>1.13568</v>
      </c>
      <c r="G49" s="14">
        <f>C18*(1+Assumptions!$C$9)^3*G18/100</f>
        <v>1.968512</v>
      </c>
      <c r="H49" s="14">
        <f>C18*(1+Assumptions!$C$9)^4*H18/100</f>
        <v>2.4567029760000003</v>
      </c>
      <c r="I49" s="14">
        <f>C18*(1+Assumptions!$C$9)^5*I18/100</f>
        <v>2.9807996108800006</v>
      </c>
      <c r="J49" s="14">
        <f>C18*(1+Assumptions!$C$9)^6*J18/100</f>
        <v>3.1000315953152011</v>
      </c>
      <c r="K49" s="14">
        <f>C18*(1+Assumptions!$C$9)^7*K18/100</f>
        <v>3.6846089818603525</v>
      </c>
      <c r="L49" s="14">
        <f>C18*(1+Assumptions!$C$9)^8*L18/100</f>
        <v>3.8319933411347677</v>
      </c>
      <c r="M49" s="14">
        <f>C18*(1+Assumptions!$C$9)^9*M18/100</f>
        <v>4.4834322091276784</v>
      </c>
    </row>
    <row r="50" spans="2:13" ht="15" customHeight="1" x14ac:dyDescent="0.25">
      <c r="B50" s="75" t="s">
        <v>671</v>
      </c>
      <c r="C50" s="42" t="s">
        <v>658</v>
      </c>
      <c r="D50" s="14">
        <f>C19*(1+Assumptions!$C$9)^0*D19/100</f>
        <v>0.48</v>
      </c>
      <c r="E50" s="14">
        <f>C19*(1+Assumptions!$C$9)^1*E19/100</f>
        <v>0.99840000000000007</v>
      </c>
      <c r="F50" s="14">
        <f>C19*(1+Assumptions!$C$9)^2*F19/100</f>
        <v>1.5575040000000002</v>
      </c>
      <c r="G50" s="14">
        <f>C19*(1+Assumptions!$C$9)^3*G19/100</f>
        <v>1.9797606400000001</v>
      </c>
      <c r="H50" s="14">
        <f>C19*(1+Assumptions!$C$9)^4*H19/100</f>
        <v>2.2461284352000006</v>
      </c>
      <c r="I50" s="14">
        <f>C19*(1+Assumptions!$C$9)^5*I19/100</f>
        <v>2.5306380369920007</v>
      </c>
      <c r="J50" s="14">
        <f>C19*(1+Assumptions!$C$9)^6*J19/100</f>
        <v>2.8343146014310405</v>
      </c>
      <c r="K50" s="14">
        <f>C19*(1+Assumptions!$C$9)^7*K19/100</f>
        <v>2.9476871854882827</v>
      </c>
      <c r="L50" s="14">
        <f>C19*(1+Assumptions!$C$9)^8*L19/100</f>
        <v>3.2845657209726578</v>
      </c>
      <c r="M50" s="14">
        <f>C19*(1+Assumptions!$C$9)^9*M19/100</f>
        <v>3.4159483498115644</v>
      </c>
    </row>
    <row r="51" spans="2:13" ht="15" customHeight="1" x14ac:dyDescent="0.25">
      <c r="B51" s="75" t="s">
        <v>672</v>
      </c>
      <c r="C51" s="42" t="s">
        <v>658</v>
      </c>
      <c r="D51" s="14">
        <f>C20*(1+Assumptions!$C$9)^0*D20/100</f>
        <v>0</v>
      </c>
      <c r="E51" s="14">
        <f>C20*(1+Assumptions!$C$9)^1*E20/100</f>
        <v>0.12480000000000001</v>
      </c>
      <c r="F51" s="14">
        <f>C20*(1+Assumptions!$C$9)^2*F20/100</f>
        <v>0.25958400000000004</v>
      </c>
      <c r="G51" s="14">
        <f>C20*(1+Assumptions!$C$9)^3*G20/100</f>
        <v>0.40495104000000004</v>
      </c>
      <c r="H51" s="14">
        <f>C20*(1+Assumptions!$C$9)^4*H20/100</f>
        <v>0.56153210880000015</v>
      </c>
      <c r="I51" s="14">
        <f>C20*(1+Assumptions!$C$9)^5*I20/100</f>
        <v>0.58399339315200016</v>
      </c>
      <c r="J51" s="14">
        <f>C20*(1+Assumptions!$C$9)^6*J20/100</f>
        <v>0.75919141109760035</v>
      </c>
      <c r="K51" s="14">
        <f>C20*(1+Assumptions!$C$9)^7*K20/100</f>
        <v>0.78955906754150418</v>
      </c>
      <c r="L51" s="14">
        <f>C20*(1+Assumptions!$C$9)^8*L20/100</f>
        <v>0.82114143024316466</v>
      </c>
      <c r="M51" s="14">
        <f>C20*(1+Assumptions!$C$9)^9*M20/100</f>
        <v>0.85398708745289131</v>
      </c>
    </row>
    <row r="52" spans="2:13" ht="15" customHeight="1" x14ac:dyDescent="0.25">
      <c r="B52" s="75" t="s">
        <v>673</v>
      </c>
      <c r="C52" s="42" t="s">
        <v>674</v>
      </c>
      <c r="D52" s="14">
        <f>C21*(1+Assumptions!$C$8)^0*D21/100</f>
        <v>0.66</v>
      </c>
      <c r="E52" s="14">
        <f>C21*(1+Assumptions!$C$8)^1*E21/100</f>
        <v>1.6016000000000004</v>
      </c>
      <c r="F52" s="14">
        <f>C21*(1+Assumptions!$C$8)^2*F21/100</f>
        <v>2.6174720000000002</v>
      </c>
      <c r="G52" s="14">
        <f>C21*(1+Assumptions!$C$8)^3*G21/100</f>
        <v>4.20699136</v>
      </c>
      <c r="H52" s="14">
        <f>C21*(1+Assumptions!$C$8)^4*H21/100</f>
        <v>5.6621154304000019</v>
      </c>
      <c r="I52" s="14">
        <f>C21*(1+Assumptions!$C$8)^5*I21/100</f>
        <v>7.7622455173120022</v>
      </c>
      <c r="J52" s="14">
        <f>C21*(1+Assumptions!$C$8)^6*J21/100</f>
        <v>10.021326626488325</v>
      </c>
      <c r="K52" s="14">
        <f>C21*(1+Assumptions!$C$8)^7*K21/100</f>
        <v>11.001189674411625</v>
      </c>
      <c r="L52" s="14">
        <f>C21*(1+Assumptions!$C$8)^8*L21/100</f>
        <v>12.043407643566413</v>
      </c>
      <c r="M52" s="14">
        <f>C21*(1+Assumptions!$C$8)^9*M21/100</f>
        <v>12.52514394930907</v>
      </c>
    </row>
    <row r="53" spans="2:13" ht="15" customHeight="1" x14ac:dyDescent="0.25">
      <c r="B53" s="75" t="s">
        <v>675</v>
      </c>
      <c r="C53" s="42" t="s">
        <v>674</v>
      </c>
      <c r="D53" s="14">
        <f>C22*(1+Assumptions!$C$8)^0*D22/100</f>
        <v>0.88</v>
      </c>
      <c r="E53" s="14">
        <f>C22*(1+Assumptions!$C$8)^1*E22/100</f>
        <v>2.0592000000000001</v>
      </c>
      <c r="F53" s="14">
        <f>C22*(1+Assumptions!$C$8)^2*F22/100</f>
        <v>3.4503040000000005</v>
      </c>
      <c r="G53" s="14">
        <f>C22*(1+Assumptions!$C$8)^3*G22/100</f>
        <v>5.5680768</v>
      </c>
      <c r="H53" s="14">
        <f>C22*(1+Assumptions!$C$8)^4*H22/100</f>
        <v>8.2358042624000021</v>
      </c>
      <c r="I53" s="14">
        <f>C22*(1+Assumptions!$C$8)^5*I22/100</f>
        <v>11.509536456704005</v>
      </c>
      <c r="J53" s="14">
        <f>C22*(1+Assumptions!$C$8)^6*J22/100</f>
        <v>15.310360123801605</v>
      </c>
      <c r="K53" s="14">
        <f>C22*(1+Assumptions!$C$8)^7*K22/100</f>
        <v>17.370299485913094</v>
      </c>
      <c r="L53" s="14">
        <f>C22*(1+Assumptions!$C$8)^8*L22/100</f>
        <v>19.26945222970626</v>
      </c>
      <c r="M53" s="14">
        <f>C22*(1+Assumptions!$C$8)^9*M22/100</f>
        <v>21.292744713825417</v>
      </c>
    </row>
    <row r="54" spans="2:13" ht="15" customHeight="1" x14ac:dyDescent="0.25">
      <c r="B54" s="75" t="s">
        <v>676</v>
      </c>
      <c r="C54" s="42" t="s">
        <v>674</v>
      </c>
      <c r="D54" s="14">
        <f>C23*(1+Assumptions!$C$8)^0*D23/100</f>
        <v>0.27</v>
      </c>
      <c r="E54" s="14">
        <f>C23*(1+Assumptions!$C$8)^1*E23/100</f>
        <v>0.56159999999999999</v>
      </c>
      <c r="F54" s="14">
        <f>C23*(1+Assumptions!$C$8)^2*F23/100</f>
        <v>0.77875200000000011</v>
      </c>
      <c r="G54" s="14">
        <f>C23*(1+Assumptions!$C$8)^3*G23/100</f>
        <v>1.3160908800000002</v>
      </c>
      <c r="H54" s="14">
        <f>C23*(1+Assumptions!$C$8)^4*H23/100</f>
        <v>1.6845963264000003</v>
      </c>
      <c r="I54" s="14">
        <f>C23*(1+Assumptions!$C$8)^5*I23/100</f>
        <v>2.1899752243200004</v>
      </c>
      <c r="J54" s="14">
        <f>C23*(1+Assumptions!$C$8)^6*J23/100</f>
        <v>2.7330890799513612</v>
      </c>
      <c r="K54" s="14">
        <f>C23*(1+Assumptions!$C$8)^7*K23/100</f>
        <v>2.8424126431494146</v>
      </c>
      <c r="L54" s="14">
        <f>C23*(1+Assumptions!$C$8)^8*L23/100</f>
        <v>3.2024515779483416</v>
      </c>
      <c r="M54" s="14">
        <f>C23*(1+Assumptions!$C$8)^9*M23/100</f>
        <v>3.3305496410662752</v>
      </c>
    </row>
    <row r="55" spans="2:13" ht="15" customHeight="1" x14ac:dyDescent="0.25">
      <c r="B55" s="75" t="s">
        <v>677</v>
      </c>
      <c r="C55" s="42" t="s">
        <v>674</v>
      </c>
      <c r="D55" s="14">
        <f>C24*(1+Assumptions!$C$8)^0*D24/100</f>
        <v>0.22</v>
      </c>
      <c r="E55" s="14">
        <f>C24*(1+Assumptions!$C$8)^1*E24/100</f>
        <v>0.68640000000000012</v>
      </c>
      <c r="F55" s="14">
        <f>C24*(1+Assumptions!$C$8)^2*F24/100</f>
        <v>1.3087360000000001</v>
      </c>
      <c r="G55" s="14">
        <f>C24*(1+Assumptions!$C$8)^3*G24/100</f>
        <v>2.2272307200000001</v>
      </c>
      <c r="H55" s="14">
        <f>C24*(1+Assumptions!$C$8)^4*H24/100</f>
        <v>3.474479923200001</v>
      </c>
      <c r="I55" s="14">
        <f>C24*(1+Assumptions!$C$8)^5*I24/100</f>
        <v>5.085609132032002</v>
      </c>
      <c r="J55" s="14">
        <f>C24*(1+Assumptions!$C$8)^6*J24/100</f>
        <v>6.6808844176588824</v>
      </c>
      <c r="K55" s="14">
        <f>C24*(1+Assumptions!$C$8)^7*K24/100</f>
        <v>7.816634768660891</v>
      </c>
      <c r="L55" s="14">
        <f>C24*(1+Assumptions!$C$8)^8*L24/100</f>
        <v>8.7314705415856491</v>
      </c>
      <c r="M55" s="14">
        <f>C24*(1+Assumptions!$C$8)^9*M24/100</f>
        <v>9.3938579619818032</v>
      </c>
    </row>
    <row r="56" spans="2:13" ht="15" customHeight="1" x14ac:dyDescent="0.25">
      <c r="B56" s="75" t="s">
        <v>678</v>
      </c>
      <c r="C56" s="42" t="s">
        <v>679</v>
      </c>
      <c r="D56" s="14">
        <f>C25*(1+Assumptions!$C$8)^0*D25/100</f>
        <v>0.36</v>
      </c>
      <c r="E56" s="14">
        <f>C25*(1+Assumptions!$C$8)^1*E25/100</f>
        <v>0.62400000000000011</v>
      </c>
      <c r="F56" s="14">
        <f>C25*(1+Assumptions!$C$8)^2*F25/100</f>
        <v>0.90854400000000013</v>
      </c>
      <c r="G56" s="14">
        <f>C25*(1+Assumptions!$C$8)^3*G25/100</f>
        <v>1.2148531200000001</v>
      </c>
      <c r="H56" s="14">
        <f>C25*(1+Assumptions!$C$8)^4*H25/100</f>
        <v>1.4038302720000002</v>
      </c>
      <c r="I56" s="14">
        <f>C25*(1+Assumptions!$C$8)^5*I25/100</f>
        <v>1.6059818311680005</v>
      </c>
      <c r="J56" s="14">
        <f>C25*(1+Assumptions!$C$8)^6*J25/100</f>
        <v>1.8220593866342407</v>
      </c>
      <c r="K56" s="14">
        <f>C25*(1+Assumptions!$C$8)^7*K25/100</f>
        <v>2.0528535756079109</v>
      </c>
      <c r="L56" s="14">
        <f>C25*(1+Assumptions!$C$8)^8*L25/100</f>
        <v>2.2991960046808604</v>
      </c>
      <c r="M56" s="14">
        <f>C25*(1+Assumptions!$C$8)^9*M25/100</f>
        <v>2.3911638448680952</v>
      </c>
    </row>
    <row r="57" spans="2:13" ht="15" customHeight="1" x14ac:dyDescent="0.25">
      <c r="B57" s="75" t="s">
        <v>680</v>
      </c>
      <c r="C57" s="42" t="s">
        <v>679</v>
      </c>
      <c r="D57" s="14">
        <f>C26*(1+Assumptions!$C$8)^0*D26/100</f>
        <v>0.44</v>
      </c>
      <c r="E57" s="14">
        <f>C26*(1+Assumptions!$C$8)^1*E26/100</f>
        <v>0.91520000000000012</v>
      </c>
      <c r="F57" s="14">
        <f>C26*(1+Assumptions!$C$8)^2*F26/100</f>
        <v>1.4277120000000003</v>
      </c>
      <c r="G57" s="14">
        <f>C26*(1+Assumptions!$C$8)^3*G26/100</f>
        <v>1.73229056</v>
      </c>
      <c r="H57" s="14">
        <f>C26*(1+Assumptions!$C$8)^4*H26/100</f>
        <v>2.0589510656000005</v>
      </c>
      <c r="I57" s="14">
        <f>C26*(1+Assumptions!$C$8)^5*I26/100</f>
        <v>2.4089727467520006</v>
      </c>
      <c r="J57" s="14">
        <f>C26*(1+Assumptions!$C$8)^6*J26/100</f>
        <v>2.7837018406912013</v>
      </c>
      <c r="K57" s="14">
        <f>C26*(1+Assumptions!$C$8)^7*K26/100</f>
        <v>3.1845549057507339</v>
      </c>
      <c r="L57" s="14">
        <f>C26*(1+Assumptions!$C$8)^8*L26/100</f>
        <v>3.3119371019807637</v>
      </c>
      <c r="M57" s="14">
        <f>C26*(1+Assumptions!$C$8)^9*M26/100</f>
        <v>3.7575431847927212</v>
      </c>
    </row>
    <row r="58" spans="2:13" ht="15" customHeight="1" x14ac:dyDescent="0.25">
      <c r="B58" s="75" t="s">
        <v>681</v>
      </c>
      <c r="C58" s="42" t="s">
        <v>679</v>
      </c>
      <c r="D58" s="14">
        <f>C27*(1+Assumptions!$C$8)^0*D27/100</f>
        <v>0.22</v>
      </c>
      <c r="E58" s="14">
        <f>C27*(1+Assumptions!$C$8)^1*E27/100</f>
        <v>0.45760000000000006</v>
      </c>
      <c r="F58" s="14">
        <f>C27*(1+Assumptions!$C$8)^2*F27/100</f>
        <v>0.71385600000000016</v>
      </c>
      <c r="G58" s="14">
        <f>C27*(1+Assumptions!$C$8)^3*G27/100</f>
        <v>0.98988032000000004</v>
      </c>
      <c r="H58" s="14">
        <f>C27*(1+Assumptions!$C$8)^4*H27/100</f>
        <v>1.2868444160000001</v>
      </c>
      <c r="I58" s="14">
        <f>C27*(1+Assumptions!$C$8)^5*I27/100</f>
        <v>1.3383181926400005</v>
      </c>
      <c r="J58" s="14">
        <f>C27*(1+Assumptions!$C$8)^6*J27/100</f>
        <v>1.6702211044147206</v>
      </c>
      <c r="K58" s="14">
        <f>C27*(1+Assumptions!$C$8)^7*K27/100</f>
        <v>1.7370299485913092</v>
      </c>
      <c r="L58" s="14">
        <f>C27*(1+Assumptions!$C$8)^8*L27/100</f>
        <v>2.107596337624122</v>
      </c>
      <c r="M58" s="14">
        <f>C27*(1+Assumptions!$C$8)^9*M27/100</f>
        <v>2.1919001911290872</v>
      </c>
    </row>
    <row r="59" spans="2:13" ht="15" customHeight="1" x14ac:dyDescent="0.25">
      <c r="B59" s="75" t="s">
        <v>682</v>
      </c>
      <c r="C59" s="42" t="s">
        <v>683</v>
      </c>
      <c r="D59" s="14">
        <f>C28*(1+Assumptions!$C$8)^0*D28/100</f>
        <v>1</v>
      </c>
      <c r="E59" s="14">
        <f>C28*(1+Assumptions!$C$8)^1*E28/100</f>
        <v>1.2480000000000002</v>
      </c>
      <c r="F59" s="14">
        <f>C28*(1+Assumptions!$C$8)^2*F28/100</f>
        <v>1.51424</v>
      </c>
      <c r="G59" s="14">
        <f>C28*(1+Assumptions!$C$8)^3*G28/100</f>
        <v>1.7997824000000002</v>
      </c>
      <c r="H59" s="14">
        <f>C28*(1+Assumptions!$C$8)^4*H28/100</f>
        <v>1.8717736960000002</v>
      </c>
      <c r="I59" s="14">
        <f>C28*(1+Assumptions!$C$8)^5*I28/100</f>
        <v>2.1899752243200004</v>
      </c>
      <c r="J59" s="14">
        <f>C28*(1+Assumptions!$C$8)^6*J28/100</f>
        <v>2.2775742332928006</v>
      </c>
      <c r="K59" s="14">
        <f>C28*(1+Assumptions!$C$8)^7*K28/100</f>
        <v>2.6318635584716805</v>
      </c>
      <c r="L59" s="14">
        <f>C28*(1+Assumptions!$C$8)^8*L28/100</f>
        <v>2.7371381008105482</v>
      </c>
      <c r="M59" s="14">
        <f>C28*(1+Assumptions!$C$8)^9*M28/100</f>
        <v>2.8466236248429704</v>
      </c>
    </row>
    <row r="60" spans="2:13" ht="15" customHeight="1" x14ac:dyDescent="0.25">
      <c r="B60" s="75" t="s">
        <v>684</v>
      </c>
      <c r="C60" s="42" t="s">
        <v>683</v>
      </c>
      <c r="D60" s="14">
        <f>C29*(1+Assumptions!$C$8)^0*D29/100</f>
        <v>0.64</v>
      </c>
      <c r="E60" s="14">
        <f>C29*(1+Assumptions!$C$8)^1*E29/100</f>
        <v>0.99840000000000007</v>
      </c>
      <c r="F60" s="14">
        <f>C29*(1+Assumptions!$C$8)^2*F29/100</f>
        <v>1.3844480000000001</v>
      </c>
      <c r="G60" s="14">
        <f>C29*(1+Assumptions!$C$8)^3*G29/100</f>
        <v>1.7997824000000002</v>
      </c>
      <c r="H60" s="14">
        <f>C29*(1+Assumptions!$C$8)^4*H29/100</f>
        <v>2.2461284352000006</v>
      </c>
      <c r="I60" s="14">
        <f>C29*(1+Assumptions!$C$8)^5*I29/100</f>
        <v>2.3359735726080006</v>
      </c>
      <c r="J60" s="14">
        <f>C29*(1+Assumptions!$C$8)^6*J29/100</f>
        <v>2.8343146014310405</v>
      </c>
      <c r="K60" s="14">
        <f>C29*(1+Assumptions!$C$8)^7*K29/100</f>
        <v>2.9476871854882827</v>
      </c>
      <c r="L60" s="14">
        <f>C29*(1+Assumptions!$C$8)^8*L29/100</f>
        <v>3.5035367690375017</v>
      </c>
      <c r="M60" s="14">
        <f>C29*(1+Assumptions!$C$8)^9*M29/100</f>
        <v>3.643678239799002</v>
      </c>
    </row>
    <row r="61" spans="2:13" ht="15" customHeight="1" x14ac:dyDescent="0.25">
      <c r="B61" s="75" t="s">
        <v>685</v>
      </c>
      <c r="C61" s="42" t="s">
        <v>683</v>
      </c>
      <c r="D61" s="14">
        <f>C30*(1+Assumptions!$C$8)^0*D30/100</f>
        <v>0.09</v>
      </c>
      <c r="E61" s="14">
        <f>C30*(1+Assumptions!$C$8)^1*E30/100</f>
        <v>0.18719999999999998</v>
      </c>
      <c r="F61" s="14">
        <f>C30*(1+Assumptions!$C$8)^2*F30/100</f>
        <v>0.29203200000000001</v>
      </c>
      <c r="G61" s="14">
        <f>C30*(1+Assumptions!$C$8)^3*G30/100</f>
        <v>0.40495104000000004</v>
      </c>
      <c r="H61" s="14">
        <f>C30*(1+Assumptions!$C$8)^4*H30/100</f>
        <v>0.52643635200000005</v>
      </c>
      <c r="I61" s="14">
        <f>C30*(1+Assumptions!$C$8)^5*I30/100</f>
        <v>0.54749380608000009</v>
      </c>
      <c r="J61" s="14">
        <f>C30*(1+Assumptions!$C$8)^6*J30/100</f>
        <v>0.6832722699878403</v>
      </c>
      <c r="K61" s="14">
        <f>C30*(1+Assumptions!$C$8)^7*K30/100</f>
        <v>0.71060316078735364</v>
      </c>
      <c r="L61" s="14">
        <f>C30*(1+Assumptions!$C$8)^8*L30/100</f>
        <v>0.73902728721884803</v>
      </c>
      <c r="M61" s="14">
        <f>C30*(1+Assumptions!$C$8)^9*M30/100</f>
        <v>0.76858837870760199</v>
      </c>
    </row>
    <row r="62" spans="2:13" ht="15" customHeight="1" x14ac:dyDescent="0.25">
      <c r="B62" s="75" t="s">
        <v>686</v>
      </c>
      <c r="C62" s="42" t="s">
        <v>683</v>
      </c>
      <c r="D62" s="14">
        <f>C31*(1+Assumptions!$C$8)^0*D31/100</f>
        <v>0.1</v>
      </c>
      <c r="E62" s="14">
        <f>C31*(1+Assumptions!$C$8)^1*E31/100</f>
        <v>0.20800000000000002</v>
      </c>
      <c r="F62" s="14">
        <f>C31*(1+Assumptions!$C$8)^2*F31/100</f>
        <v>0.21632000000000001</v>
      </c>
      <c r="G62" s="14">
        <f>C31*(1+Assumptions!$C$8)^3*G31/100</f>
        <v>0.33745920000000007</v>
      </c>
      <c r="H62" s="14">
        <f>C31*(1+Assumptions!$C$8)^4*H31/100</f>
        <v>0.35095756800000005</v>
      </c>
      <c r="I62" s="14">
        <f>C31*(1+Assumptions!$C$8)^5*I31/100</f>
        <v>0.48666116096000012</v>
      </c>
      <c r="J62" s="14">
        <f>C31*(1+Assumptions!$C$8)^6*J31/100</f>
        <v>0.50612760739840013</v>
      </c>
      <c r="K62" s="14">
        <f>C31*(1+Assumptions!$C$8)^7*K31/100</f>
        <v>0.52637271169433608</v>
      </c>
      <c r="L62" s="14">
        <f>C31*(1+Assumptions!$C$8)^8*L31/100</f>
        <v>0.54742762016210955</v>
      </c>
      <c r="M62" s="14">
        <f>C31*(1+Assumptions!$C$8)^9*M31/100</f>
        <v>0.56932472496859399</v>
      </c>
    </row>
    <row r="63" spans="2:13" ht="15" customHeight="1" x14ac:dyDescent="0.25">
      <c r="B63" s="75" t="s">
        <v>687</v>
      </c>
      <c r="C63" s="42" t="s">
        <v>683</v>
      </c>
      <c r="D63" s="14">
        <f>C32*(1+Assumptions!$C$8)^0*D32/100</f>
        <v>0.24</v>
      </c>
      <c r="E63" s="14">
        <f>C32*(1+Assumptions!$C$8)^1*E32/100</f>
        <v>0.37439999999999996</v>
      </c>
      <c r="F63" s="14">
        <f>C32*(1+Assumptions!$C$8)^2*F32/100</f>
        <v>0.38937600000000006</v>
      </c>
      <c r="G63" s="14">
        <f>C32*(1+Assumptions!$C$8)^3*G32/100</f>
        <v>0.53993472000000009</v>
      </c>
      <c r="H63" s="14">
        <f>C32*(1+Assumptions!$C$8)^4*H32/100</f>
        <v>0.56153210880000015</v>
      </c>
      <c r="I63" s="14">
        <f>C32*(1+Assumptions!$C$8)^5*I32/100</f>
        <v>0.72999174144000023</v>
      </c>
      <c r="J63" s="14">
        <f>C32*(1+Assumptions!$C$8)^6*J32/100</f>
        <v>0.75919141109760035</v>
      </c>
      <c r="K63" s="14">
        <f>C32*(1+Assumptions!$C$8)^7*K32/100</f>
        <v>0.78955906754150418</v>
      </c>
      <c r="L63" s="14">
        <f>C32*(1+Assumptions!$C$8)^8*L32/100</f>
        <v>0.98536971629179748</v>
      </c>
      <c r="M63" s="14">
        <f>C32*(1+Assumptions!$C$8)^9*M32/100</f>
        <v>1.0247845049434694</v>
      </c>
    </row>
    <row r="64" spans="2:13" ht="15" customHeight="1" x14ac:dyDescent="0.25">
      <c r="B64" s="75" t="s">
        <v>688</v>
      </c>
      <c r="C64" s="42" t="s">
        <v>683</v>
      </c>
      <c r="D64" s="14">
        <f>C33*(1+Assumptions!$C$8)^0*D33/100</f>
        <v>0.24</v>
      </c>
      <c r="E64" s="14">
        <f>C33*(1+Assumptions!$C$8)^1*E33/100</f>
        <v>0.37439999999999996</v>
      </c>
      <c r="F64" s="14">
        <f>C33*(1+Assumptions!$C$8)^2*F33/100</f>
        <v>0.51916800000000007</v>
      </c>
      <c r="G64" s="14">
        <f>C33*(1+Assumptions!$C$8)^3*G33/100</f>
        <v>0.67491840000000014</v>
      </c>
      <c r="H64" s="14">
        <f>C33*(1+Assumptions!$C$8)^4*H33/100</f>
        <v>0.84229816320000017</v>
      </c>
      <c r="I64" s="14">
        <f>C33*(1+Assumptions!$C$8)^5*I33/100</f>
        <v>0.87599008972800019</v>
      </c>
      <c r="J64" s="14">
        <f>C33*(1+Assumptions!$C$8)^6*J33/100</f>
        <v>1.0628679755366404</v>
      </c>
      <c r="K64" s="14">
        <f>C33*(1+Assumptions!$C$8)^7*K33/100</f>
        <v>1.1053826945581058</v>
      </c>
      <c r="L64" s="14">
        <f>C33*(1+Assumptions!$C$8)^8*L33/100</f>
        <v>1.3138262883890632</v>
      </c>
      <c r="M64" s="14">
        <f>C33*(1+Assumptions!$C$8)^9*M33/100</f>
        <v>1.366379339924626</v>
      </c>
    </row>
    <row r="66" spans="2:13" ht="21.75" customHeight="1" x14ac:dyDescent="0.25">
      <c r="B66" s="110" t="s">
        <v>689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</row>
    <row r="67" spans="2:13" ht="15" customHeight="1" x14ac:dyDescent="0.25">
      <c r="B67" s="41" t="s">
        <v>690</v>
      </c>
      <c r="D67" s="43">
        <f t="shared" ref="D67:M67" si="1">D37+D38+D39+D40+D41+D42+D43+D44+D45+D46+D47+D48+D49+D50+D51</f>
        <v>12.51</v>
      </c>
      <c r="E67" s="43">
        <f t="shared" si="1"/>
        <v>20.664800000000007</v>
      </c>
      <c r="F67" s="43">
        <f t="shared" si="1"/>
        <v>28.446080000000006</v>
      </c>
      <c r="G67" s="43">
        <f t="shared" si="1"/>
        <v>36.873041920000006</v>
      </c>
      <c r="H67" s="43">
        <f t="shared" si="1"/>
        <v>43.776107315200008</v>
      </c>
      <c r="I67" s="43">
        <f t="shared" si="1"/>
        <v>50.028767346688007</v>
      </c>
      <c r="J67" s="43">
        <f t="shared" si="1"/>
        <v>54.965458163466259</v>
      </c>
      <c r="K67" s="43">
        <f t="shared" si="1"/>
        <v>60.453905938094501</v>
      </c>
      <c r="L67" s="43">
        <f t="shared" si="1"/>
        <v>63.52897531981283</v>
      </c>
      <c r="M67" s="43">
        <f t="shared" si="1"/>
        <v>66.767557120691876</v>
      </c>
    </row>
    <row r="68" spans="2:13" ht="15" customHeight="1" x14ac:dyDescent="0.25">
      <c r="B68" s="41" t="s">
        <v>691</v>
      </c>
      <c r="D68" s="43">
        <f t="shared" ref="D68:M68" si="2">D52+D53+D54+D55</f>
        <v>2.0300000000000002</v>
      </c>
      <c r="E68" s="43">
        <f t="shared" si="2"/>
        <v>4.9088000000000003</v>
      </c>
      <c r="F68" s="43">
        <f t="shared" si="2"/>
        <v>8.1552640000000007</v>
      </c>
      <c r="G68" s="43">
        <f t="shared" si="2"/>
        <v>13.318389760000001</v>
      </c>
      <c r="H68" s="43">
        <f t="shared" si="2"/>
        <v>19.056995942400004</v>
      </c>
      <c r="I68" s="43">
        <f t="shared" si="2"/>
        <v>26.547366330368011</v>
      </c>
      <c r="J68" s="43">
        <f t="shared" si="2"/>
        <v>34.745660247900176</v>
      </c>
      <c r="K68" s="43">
        <f t="shared" si="2"/>
        <v>39.030536572135027</v>
      </c>
      <c r="L68" s="43">
        <f t="shared" si="2"/>
        <v>43.24678199280666</v>
      </c>
      <c r="M68" s="43">
        <f t="shared" si="2"/>
        <v>46.542296266182568</v>
      </c>
    </row>
    <row r="69" spans="2:13" ht="15" customHeight="1" x14ac:dyDescent="0.25">
      <c r="B69" s="41" t="s">
        <v>692</v>
      </c>
      <c r="D69" s="43">
        <f t="shared" ref="D69:M69" si="3">D56+D57+D58</f>
        <v>1.02</v>
      </c>
      <c r="E69" s="43">
        <f t="shared" si="3"/>
        <v>1.9968000000000001</v>
      </c>
      <c r="F69" s="43">
        <f t="shared" si="3"/>
        <v>3.0501120000000008</v>
      </c>
      <c r="G69" s="43">
        <f t="shared" si="3"/>
        <v>3.9370240000000001</v>
      </c>
      <c r="H69" s="43">
        <f t="shared" si="3"/>
        <v>4.7496257536000011</v>
      </c>
      <c r="I69" s="43">
        <f t="shared" si="3"/>
        <v>5.3532727705600021</v>
      </c>
      <c r="J69" s="43">
        <f t="shared" si="3"/>
        <v>6.2759823317401633</v>
      </c>
      <c r="K69" s="43">
        <f t="shared" si="3"/>
        <v>6.974438429949954</v>
      </c>
      <c r="L69" s="43">
        <f t="shared" si="3"/>
        <v>7.7187294442857457</v>
      </c>
      <c r="M69" s="43">
        <f t="shared" si="3"/>
        <v>8.3406072207899022</v>
      </c>
    </row>
    <row r="70" spans="2:13" ht="15" customHeight="1" x14ac:dyDescent="0.25">
      <c r="B70" s="41" t="s">
        <v>693</v>
      </c>
      <c r="D70" s="43">
        <f t="shared" ref="D70:M70" si="4">D59+D60+D61+D62+D63+D64</f>
        <v>2.3100000000000005</v>
      </c>
      <c r="E70" s="43">
        <f t="shared" si="4"/>
        <v>3.3904000000000005</v>
      </c>
      <c r="F70" s="43">
        <f t="shared" si="4"/>
        <v>4.3155839999999994</v>
      </c>
      <c r="G70" s="43">
        <f t="shared" si="4"/>
        <v>5.5568281600000011</v>
      </c>
      <c r="H70" s="43">
        <f t="shared" si="4"/>
        <v>6.3991263232000009</v>
      </c>
      <c r="I70" s="43">
        <f t="shared" si="4"/>
        <v>7.1660855951360007</v>
      </c>
      <c r="J70" s="43">
        <f t="shared" si="4"/>
        <v>8.123348098744323</v>
      </c>
      <c r="K70" s="43">
        <f t="shared" si="4"/>
        <v>8.7114683785412623</v>
      </c>
      <c r="L70" s="43">
        <f t="shared" si="4"/>
        <v>9.8263257819098673</v>
      </c>
      <c r="M70" s="43">
        <f t="shared" si="4"/>
        <v>10.219378813186262</v>
      </c>
    </row>
    <row r="71" spans="2:13" ht="15" customHeight="1" x14ac:dyDescent="0.25">
      <c r="B71" s="89" t="s">
        <v>694</v>
      </c>
      <c r="D71" s="66">
        <f t="shared" ref="D71:M71" si="5">D67+D68+D69+D70</f>
        <v>17.869999999999997</v>
      </c>
      <c r="E71" s="66">
        <f t="shared" si="5"/>
        <v>30.960800000000006</v>
      </c>
      <c r="F71" s="66">
        <f t="shared" si="5"/>
        <v>43.967040000000004</v>
      </c>
      <c r="G71" s="66">
        <f t="shared" si="5"/>
        <v>59.685283840000011</v>
      </c>
      <c r="H71" s="66">
        <f t="shared" si="5"/>
        <v>73.981855334400024</v>
      </c>
      <c r="I71" s="66">
        <f t="shared" si="5"/>
        <v>89.095492042752014</v>
      </c>
      <c r="J71" s="66">
        <f t="shared" si="5"/>
        <v>104.11044884185094</v>
      </c>
      <c r="K71" s="66">
        <f t="shared" si="5"/>
        <v>115.17034931872075</v>
      </c>
      <c r="L71" s="66">
        <f t="shared" si="5"/>
        <v>124.3208125388151</v>
      </c>
      <c r="M71" s="66">
        <f t="shared" si="5"/>
        <v>131.86983942085061</v>
      </c>
    </row>
    <row r="72" spans="2:13" ht="48" customHeight="1" x14ac:dyDescent="0.25">
      <c r="B72" s="129" t="s">
        <v>695</v>
      </c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</row>
  </sheetData>
  <mergeCells count="5">
    <mergeCell ref="B2:N2"/>
    <mergeCell ref="B5:N5"/>
    <mergeCell ref="B36:N36"/>
    <mergeCell ref="B66:M66"/>
    <mergeCell ref="B72:M72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2:N19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8.7109375" defaultRowHeight="15" x14ac:dyDescent="0.25"/>
  <cols>
    <col min="1" max="1" width="1.5703125" customWidth="1"/>
    <col min="2" max="2" width="44" customWidth="1"/>
    <col min="3" max="3" width="22" customWidth="1"/>
    <col min="4" max="13" width="13" customWidth="1"/>
  </cols>
  <sheetData>
    <row r="2" spans="2:14" ht="24" customHeight="1" x14ac:dyDescent="0.25">
      <c r="B2" s="108" t="s">
        <v>696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4" spans="2:14" ht="15" customHeight="1" x14ac:dyDescent="0.25">
      <c r="B4" s="9" t="s">
        <v>467</v>
      </c>
      <c r="C4" s="9" t="s">
        <v>697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4" ht="15" customHeight="1" x14ac:dyDescent="0.25">
      <c r="B5" s="2" t="s">
        <v>698</v>
      </c>
      <c r="C5" s="42" t="s">
        <v>699</v>
      </c>
      <c r="D5" s="14">
        <f>Platform!D11</f>
        <v>101</v>
      </c>
      <c r="E5" s="14">
        <f>Platform!E11</f>
        <v>210</v>
      </c>
      <c r="F5" s="14">
        <f>Platform!F11</f>
        <v>107</v>
      </c>
      <c r="G5" s="14">
        <f>Platform!G11</f>
        <v>69</v>
      </c>
      <c r="H5" s="14">
        <f>Platform!H11</f>
        <v>38</v>
      </c>
      <c r="I5" s="14">
        <f>Platform!I11</f>
        <v>20.5</v>
      </c>
      <c r="J5" s="14">
        <f>Platform!J11</f>
        <v>11.3</v>
      </c>
      <c r="K5" s="14">
        <f>Platform!K11</f>
        <v>8.4</v>
      </c>
      <c r="L5" s="14">
        <f>Platform!L11</f>
        <v>6.8999999999999995</v>
      </c>
      <c r="M5" s="14">
        <f>Platform!M11</f>
        <v>3.1</v>
      </c>
    </row>
    <row r="6" spans="2:14" ht="15" customHeight="1" x14ac:dyDescent="0.25">
      <c r="B6" s="2" t="s">
        <v>700</v>
      </c>
      <c r="C6" s="42" t="s">
        <v>701</v>
      </c>
      <c r="D6" s="14">
        <f>ReuseMatrix!D25+ReuseMatrix!D28+ReuseMatrix!D31+ReuseMatrix!D34+ReuseMatrix!D37+ReuseMatrix!D40</f>
        <v>141.82787500000001</v>
      </c>
      <c r="E6" s="14">
        <f>ReuseMatrix!E25+ReuseMatrix!E28+ReuseMatrix!E31+ReuseMatrix!E34+ReuseMatrix!E37+ReuseMatrix!E40</f>
        <v>110.14917500000001</v>
      </c>
      <c r="F6" s="14">
        <f>ReuseMatrix!F25+ReuseMatrix!F28+ReuseMatrix!F31+ReuseMatrix!F34+ReuseMatrix!F37+ReuseMatrix!F40</f>
        <v>59.139457</v>
      </c>
      <c r="G6" s="14">
        <f>ReuseMatrix!G25+ReuseMatrix!G28+ReuseMatrix!G31+ReuseMatrix!G34+ReuseMatrix!G37+ReuseMatrix!G40</f>
        <v>26.76007499999999</v>
      </c>
      <c r="H6" s="14">
        <f>ReuseMatrix!H25+ReuseMatrix!H28+ReuseMatrix!H31+ReuseMatrix!H34+ReuseMatrix!H37+ReuseMatrix!H40</f>
        <v>10.307784999999996</v>
      </c>
      <c r="I6" s="14">
        <f>ReuseMatrix!I25+ReuseMatrix!I28+ReuseMatrix!I31+ReuseMatrix!I34+ReuseMatrix!I37+ReuseMatrix!I40</f>
        <v>3.7408529999999978</v>
      </c>
      <c r="J6" s="14">
        <f>ReuseMatrix!J25+ReuseMatrix!J28+ReuseMatrix!J31+ReuseMatrix!J34+ReuseMatrix!J37+ReuseMatrix!J40</f>
        <v>1.6259535000000047</v>
      </c>
      <c r="K6" s="14">
        <f>ReuseMatrix!K25+ReuseMatrix!K28+ReuseMatrix!K31+ReuseMatrix!K34+ReuseMatrix!K37+ReuseMatrix!K40</f>
        <v>0.65750924999999938</v>
      </c>
      <c r="L6" s="14">
        <f>ReuseMatrix!L25+ReuseMatrix!L28+ReuseMatrix!L31+ReuseMatrix!L34+ReuseMatrix!L37+ReuseMatrix!L40</f>
        <v>0.14221024999999998</v>
      </c>
      <c r="M6" s="14">
        <f>ReuseMatrix!M25+ReuseMatrix!M28+ReuseMatrix!M31+ReuseMatrix!M34+ReuseMatrix!M37+ReuseMatrix!M40</f>
        <v>8.7874999999999967E-2</v>
      </c>
    </row>
    <row r="7" spans="2:14" ht="15" customHeight="1" x14ac:dyDescent="0.25">
      <c r="B7" s="2" t="s">
        <v>702</v>
      </c>
      <c r="C7" s="42" t="s">
        <v>703</v>
      </c>
      <c r="D7" s="14">
        <f>Headcount!D67</f>
        <v>12.51</v>
      </c>
      <c r="E7" s="14">
        <f>Headcount!E67</f>
        <v>20.664800000000007</v>
      </c>
      <c r="F7" s="14">
        <f>Headcount!F67</f>
        <v>28.446080000000006</v>
      </c>
      <c r="G7" s="14">
        <f>Headcount!G67</f>
        <v>36.873041920000006</v>
      </c>
      <c r="H7" s="14">
        <f>Headcount!H67</f>
        <v>43.776107315200008</v>
      </c>
      <c r="I7" s="14">
        <f>Headcount!I67</f>
        <v>50.028767346688007</v>
      </c>
      <c r="J7" s="14">
        <f>Headcount!J67</f>
        <v>54.965458163466259</v>
      </c>
      <c r="K7" s="14">
        <f>Headcount!K67</f>
        <v>60.453905938094501</v>
      </c>
      <c r="L7" s="14">
        <f>Headcount!L67</f>
        <v>63.52897531981283</v>
      </c>
      <c r="M7" s="14">
        <f>Headcount!M67</f>
        <v>66.767557120691876</v>
      </c>
    </row>
    <row r="8" spans="2:14" ht="15" customHeight="1" x14ac:dyDescent="0.25">
      <c r="B8" s="42" t="s">
        <v>704</v>
      </c>
      <c r="C8" s="42" t="s">
        <v>705</v>
      </c>
      <c r="D8" s="14">
        <f>ReuseMatrix!D24+ReuseMatrix!D27+ReuseMatrix!D30+ReuseMatrix!D33+ReuseMatrix!D36+ReuseMatrix!D39</f>
        <v>261.72500000000002</v>
      </c>
      <c r="E8" s="14">
        <f>ReuseMatrix!E24+ReuseMatrix!E27+ReuseMatrix!E30+ReuseMatrix!E33+ReuseMatrix!E36+ReuseMatrix!E39</f>
        <v>308.75</v>
      </c>
      <c r="F8" s="14">
        <f>ReuseMatrix!F24+ReuseMatrix!F27+ReuseMatrix!F30+ReuseMatrix!F33+ReuseMatrix!F36+ReuseMatrix!F39</f>
        <v>270.08499999999998</v>
      </c>
      <c r="G8" s="14">
        <f>ReuseMatrix!G24+ReuseMatrix!G27+ReuseMatrix!G30+ReuseMatrix!G33+ReuseMatrix!G36+ReuseMatrix!G39</f>
        <v>206.52999999999997</v>
      </c>
      <c r="H8" s="14">
        <f>ReuseMatrix!H24+ReuseMatrix!H27+ReuseMatrix!H30+ReuseMatrix!H33+ReuseMatrix!H36+ReuseMatrix!H39</f>
        <v>133.47499999999999</v>
      </c>
      <c r="I8" s="14">
        <f>ReuseMatrix!I24+ReuseMatrix!I27+ReuseMatrix!I30+ReuseMatrix!I33+ReuseMatrix!I36+ReuseMatrix!I39</f>
        <v>75.430000000000007</v>
      </c>
      <c r="J8" s="14">
        <f>ReuseMatrix!J24+ReuseMatrix!J27+ReuseMatrix!J30+ReuseMatrix!J33+ReuseMatrix!J36+ReuseMatrix!J39</f>
        <v>47.5</v>
      </c>
      <c r="K8" s="14">
        <f>ReuseMatrix!K24+ReuseMatrix!K27+ReuseMatrix!K30+ReuseMatrix!K33+ReuseMatrix!K36+ReuseMatrix!K39</f>
        <v>27.122500000000002</v>
      </c>
      <c r="L8" s="14">
        <f>ReuseMatrix!L24+ReuseMatrix!L27+ReuseMatrix!L30+ReuseMatrix!L33+ReuseMatrix!L36+ReuseMatrix!L39</f>
        <v>9.3574999999999982</v>
      </c>
      <c r="M8" s="14">
        <f>ReuseMatrix!M24+ReuseMatrix!M27+ReuseMatrix!M30+ReuseMatrix!M33+ReuseMatrix!M36+ReuseMatrix!M39</f>
        <v>8.7874999999999979</v>
      </c>
    </row>
    <row r="9" spans="2:14" ht="33" customHeight="1" x14ac:dyDescent="0.25">
      <c r="B9" s="42" t="s">
        <v>706</v>
      </c>
      <c r="D9" s="14">
        <f t="shared" ref="D9:M9" si="0">D8-D6</f>
        <v>119.89712500000002</v>
      </c>
      <c r="E9" s="14">
        <f t="shared" si="0"/>
        <v>198.60082499999999</v>
      </c>
      <c r="F9" s="14">
        <f t="shared" si="0"/>
        <v>210.94554299999999</v>
      </c>
      <c r="G9" s="14">
        <f t="shared" si="0"/>
        <v>179.76992499999997</v>
      </c>
      <c r="H9" s="14">
        <f t="shared" si="0"/>
        <v>123.167215</v>
      </c>
      <c r="I9" s="14">
        <f t="shared" si="0"/>
        <v>71.689147000000006</v>
      </c>
      <c r="J9" s="14">
        <f t="shared" si="0"/>
        <v>45.874046499999999</v>
      </c>
      <c r="K9" s="14">
        <f t="shared" si="0"/>
        <v>26.464990750000002</v>
      </c>
      <c r="L9" s="14">
        <f t="shared" si="0"/>
        <v>9.2152897499999984</v>
      </c>
      <c r="M9" s="14">
        <f t="shared" si="0"/>
        <v>8.6996249999999975</v>
      </c>
    </row>
    <row r="11" spans="2:14" ht="21.75" customHeight="1" x14ac:dyDescent="0.25">
      <c r="B11" s="110" t="s">
        <v>707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</row>
    <row r="12" spans="2:14" ht="30" customHeight="1" x14ac:dyDescent="0.25">
      <c r="B12" s="65" t="s">
        <v>708</v>
      </c>
      <c r="C12" s="90" t="s">
        <v>709</v>
      </c>
      <c r="D12" s="66">
        <f t="shared" ref="D12:M12" si="1">D17+D6+D7+D19</f>
        <v>301.9362375</v>
      </c>
      <c r="E12" s="66">
        <f t="shared" si="1"/>
        <v>347.80872750000003</v>
      </c>
      <c r="F12" s="66">
        <f t="shared" si="1"/>
        <v>185.2173741</v>
      </c>
      <c r="G12" s="66">
        <f t="shared" si="1"/>
        <v>118.02113941999998</v>
      </c>
      <c r="H12" s="66">
        <f t="shared" si="1"/>
        <v>80.586227815200004</v>
      </c>
      <c r="I12" s="66">
        <f t="shared" si="1"/>
        <v>66.91187624668801</v>
      </c>
      <c r="J12" s="66">
        <f t="shared" si="1"/>
        <v>63.404197713466267</v>
      </c>
      <c r="K12" s="66">
        <f t="shared" si="1"/>
        <v>65.917667963094502</v>
      </c>
      <c r="L12" s="66">
        <f t="shared" si="1"/>
        <v>67.497848644812834</v>
      </c>
      <c r="M12" s="66">
        <f t="shared" si="1"/>
        <v>68.640794620691878</v>
      </c>
    </row>
    <row r="13" spans="2:14" ht="15" customHeight="1" x14ac:dyDescent="0.25">
      <c r="B13" t="s">
        <v>710</v>
      </c>
    </row>
    <row r="14" spans="2:14" ht="15" customHeight="1" x14ac:dyDescent="0.25">
      <c r="B14" t="s">
        <v>711</v>
      </c>
      <c r="C14" s="53" t="s">
        <v>712</v>
      </c>
      <c r="D14" s="91">
        <f>'R&amp;D_Buckets'!D89</f>
        <v>0.25990099009900991</v>
      </c>
      <c r="E14" s="91">
        <f>'R&amp;D_Buckets'!E89</f>
        <v>0.42404761904761912</v>
      </c>
      <c r="F14" s="91">
        <f>'R&amp;D_Buckets'!F89</f>
        <v>0.5533644859813085</v>
      </c>
      <c r="G14" s="91">
        <f>'R&amp;D_Buckets'!G89</f>
        <v>0.62811594202898557</v>
      </c>
      <c r="H14" s="91">
        <f>'R&amp;D_Buckets'!H89</f>
        <v>0.68394736842105253</v>
      </c>
      <c r="I14" s="91">
        <f>'R&amp;D_Buckets'!I89</f>
        <v>0.71365853658536593</v>
      </c>
      <c r="J14" s="91">
        <f>'R&amp;D_Buckets'!J89</f>
        <v>0.74026548672566372</v>
      </c>
      <c r="K14" s="91">
        <f>'R&amp;D_Buckets'!K89</f>
        <v>0.75130952380952387</v>
      </c>
      <c r="L14" s="91">
        <f>'R&amp;D_Buckets'!L89</f>
        <v>0.75159420289855072</v>
      </c>
      <c r="M14" s="91">
        <f>'R&amp;D_Buckets'!M89</f>
        <v>0.73258064516129029</v>
      </c>
    </row>
    <row r="15" spans="2:14" ht="15" customHeight="1" x14ac:dyDescent="0.25">
      <c r="B15" t="s">
        <v>713</v>
      </c>
      <c r="C15">
        <f>Assumptions!C58</f>
        <v>6</v>
      </c>
      <c r="D15" t="s">
        <v>714</v>
      </c>
    </row>
    <row r="16" spans="2:14" ht="15" customHeight="1" x14ac:dyDescent="0.25">
      <c r="B16" t="s">
        <v>715</v>
      </c>
      <c r="D16" s="92">
        <f>'R&amp;D_Buckets'!D88</f>
        <v>26.25</v>
      </c>
      <c r="E16" s="92">
        <f>'R&amp;D_Buckets'!E88</f>
        <v>89.050000000000011</v>
      </c>
      <c r="F16" s="92">
        <f>'R&amp;D_Buckets'!F88</f>
        <v>59.210000000000008</v>
      </c>
      <c r="G16" s="92">
        <f>'R&amp;D_Buckets'!G88</f>
        <v>43.34</v>
      </c>
      <c r="H16" s="92">
        <f>'R&amp;D_Buckets'!H88</f>
        <v>25.989999999999995</v>
      </c>
      <c r="I16" s="92">
        <f>'R&amp;D_Buckets'!I88</f>
        <v>14.630000000000003</v>
      </c>
      <c r="J16" s="92">
        <f>'R&amp;D_Buckets'!J88</f>
        <v>8.3650000000000002</v>
      </c>
      <c r="K16" s="92">
        <f>'R&amp;D_Buckets'!K88</f>
        <v>6.3110000000000008</v>
      </c>
      <c r="L16" s="92">
        <f>'R&amp;D_Buckets'!L88</f>
        <v>5.1859999999999999</v>
      </c>
      <c r="M16" s="92">
        <f>'R&amp;D_Buckets'!M88</f>
        <v>2.2709999999999999</v>
      </c>
    </row>
    <row r="17" spans="2:13" ht="15" customHeight="1" x14ac:dyDescent="0.25">
      <c r="B17" t="s">
        <v>716</v>
      </c>
      <c r="D17" s="92">
        <f>'R&amp;D_Buckets'!D87</f>
        <v>74.75</v>
      </c>
      <c r="E17" s="92">
        <f>'R&amp;D_Buckets'!E87</f>
        <v>120.94999999999999</v>
      </c>
      <c r="F17" s="92">
        <f>'R&amp;D_Buckets'!F87</f>
        <v>47.790000000000006</v>
      </c>
      <c r="G17" s="92">
        <f>'R&amp;D_Buckets'!G87</f>
        <v>25.659999999999997</v>
      </c>
      <c r="H17" s="92">
        <f>'R&amp;D_Buckets'!H87</f>
        <v>12.010000000000003</v>
      </c>
      <c r="I17" s="92">
        <f>'R&amp;D_Buckets'!I87</f>
        <v>5.87</v>
      </c>
      <c r="J17" s="92">
        <f>'R&amp;D_Buckets'!J87</f>
        <v>2.9349999999999996</v>
      </c>
      <c r="K17" s="92">
        <f>'R&amp;D_Buckets'!K87</f>
        <v>2.089</v>
      </c>
      <c r="L17" s="92">
        <f>'R&amp;D_Buckets'!L87</f>
        <v>1.7139999999999997</v>
      </c>
      <c r="M17" s="92">
        <f>'R&amp;D_Buckets'!M87</f>
        <v>0.82900000000000018</v>
      </c>
    </row>
    <row r="18" spans="2:13" ht="15" customHeight="1" x14ac:dyDescent="0.25">
      <c r="B18" t="s">
        <v>717</v>
      </c>
      <c r="D18" s="92">
        <f ca="1">'R&amp;D_Buckets'!D90</f>
        <v>4.375</v>
      </c>
      <c r="E18" s="92">
        <f ca="1">'R&amp;D_Buckets'!E90</f>
        <v>19.216666666666669</v>
      </c>
      <c r="F18" s="92">
        <f ca="1">'R&amp;D_Buckets'!F90</f>
        <v>29.085000000000004</v>
      </c>
      <c r="G18" s="92">
        <f ca="1">'R&amp;D_Buckets'!G90</f>
        <v>36.308333333333337</v>
      </c>
      <c r="H18" s="92">
        <f ca="1">'R&amp;D_Buckets'!H90</f>
        <v>40.640000000000008</v>
      </c>
      <c r="I18" s="92">
        <f ca="1">'R&amp;D_Buckets'!I90</f>
        <v>43.07833333333334</v>
      </c>
      <c r="J18" s="92">
        <f ca="1">'R&amp;D_Buckets'!J90</f>
        <v>40.097500000000004</v>
      </c>
      <c r="K18" s="92">
        <f ca="1">'R&amp;D_Buckets'!K90</f>
        <v>26.307666666666673</v>
      </c>
      <c r="L18" s="92">
        <f ca="1">'R&amp;D_Buckets'!L90</f>
        <v>17.303666666666668</v>
      </c>
      <c r="M18" s="92">
        <f ca="1">'R&amp;D_Buckets'!M90</f>
        <v>10.458833333333333</v>
      </c>
    </row>
    <row r="19" spans="2:13" ht="15" customHeight="1" x14ac:dyDescent="0.25">
      <c r="B19" t="s">
        <v>718</v>
      </c>
      <c r="C19" t="s">
        <v>719</v>
      </c>
      <c r="D19">
        <f t="shared" ref="D19:M19" si="2">0.3*(D5+D6)</f>
        <v>72.848362499999993</v>
      </c>
      <c r="E19">
        <f t="shared" si="2"/>
        <v>96.044752500000001</v>
      </c>
      <c r="F19">
        <f t="shared" si="2"/>
        <v>49.841837099999999</v>
      </c>
      <c r="G19">
        <f t="shared" si="2"/>
        <v>28.728022499999994</v>
      </c>
      <c r="H19">
        <f t="shared" si="2"/>
        <v>14.492335499999998</v>
      </c>
      <c r="I19">
        <f t="shared" si="2"/>
        <v>7.2722558999999993</v>
      </c>
      <c r="J19">
        <f t="shared" si="2"/>
        <v>3.8777860500000014</v>
      </c>
      <c r="K19">
        <f t="shared" si="2"/>
        <v>2.7172527749999995</v>
      </c>
      <c r="L19">
        <f t="shared" si="2"/>
        <v>2.1126630749999995</v>
      </c>
      <c r="M19">
        <f t="shared" si="2"/>
        <v>0.9563625</v>
      </c>
    </row>
  </sheetData>
  <mergeCells count="2">
    <mergeCell ref="B2:N2"/>
    <mergeCell ref="B11:N11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N39"/>
  <sheetViews>
    <sheetView showGridLines="0" zoomScaleNormal="100" workbookViewId="0">
      <pane xSplit="3" ySplit="4" topLeftCell="D20" activePane="bottomRight" state="frozen"/>
      <selection pane="topRight" activeCell="D1" sqref="D1"/>
      <selection pane="bottomLeft" activeCell="A20" sqref="A20"/>
      <selection pane="bottomRight" activeCell="D21" sqref="D21"/>
    </sheetView>
  </sheetViews>
  <sheetFormatPr defaultColWidth="8.7109375" defaultRowHeight="15" x14ac:dyDescent="0.25"/>
  <cols>
    <col min="1" max="1" width="1.5703125" customWidth="1"/>
    <col min="2" max="2" width="42" customWidth="1"/>
    <col min="3" max="3" width="12" customWidth="1"/>
    <col min="4" max="13" width="13" customWidth="1"/>
  </cols>
  <sheetData>
    <row r="2" spans="2:14" ht="24" customHeight="1" x14ac:dyDescent="0.25">
      <c r="B2" s="108" t="s">
        <v>720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4" spans="2:14" ht="15" customHeight="1" x14ac:dyDescent="0.25">
      <c r="B4" s="9" t="s">
        <v>721</v>
      </c>
      <c r="C4" s="9" t="s">
        <v>722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4" ht="21.75" customHeight="1" x14ac:dyDescent="0.25">
      <c r="B5" s="110" t="s">
        <v>723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</row>
    <row r="6" spans="2:14" ht="15" customHeight="1" x14ac:dyDescent="0.25">
      <c r="B6" s="75" t="s">
        <v>724</v>
      </c>
      <c r="C6" s="76">
        <v>7</v>
      </c>
      <c r="D6" s="88">
        <v>237.5</v>
      </c>
      <c r="E6" s="88">
        <v>142.5</v>
      </c>
      <c r="F6" s="88">
        <v>0</v>
      </c>
      <c r="G6" s="88">
        <v>0</v>
      </c>
      <c r="H6" s="88">
        <v>237.5</v>
      </c>
      <c r="I6" s="88">
        <v>0</v>
      </c>
      <c r="J6" s="88">
        <v>0</v>
      </c>
      <c r="K6" s="88">
        <v>0</v>
      </c>
      <c r="L6" s="88">
        <v>237.5</v>
      </c>
      <c r="M6" s="88">
        <v>0</v>
      </c>
    </row>
    <row r="7" spans="2:14" ht="15" customHeight="1" x14ac:dyDescent="0.25">
      <c r="B7" s="75" t="s">
        <v>725</v>
      </c>
      <c r="C7" s="76">
        <v>15</v>
      </c>
      <c r="D7" s="88">
        <v>0</v>
      </c>
      <c r="E7" s="88">
        <v>0</v>
      </c>
      <c r="F7" s="88">
        <v>2500</v>
      </c>
      <c r="G7" s="88">
        <v>2500</v>
      </c>
      <c r="H7" s="88">
        <v>1000</v>
      </c>
      <c r="I7" s="88">
        <v>0</v>
      </c>
      <c r="J7" s="88">
        <v>0</v>
      </c>
      <c r="K7" s="88">
        <v>0</v>
      </c>
      <c r="L7" s="88">
        <v>0</v>
      </c>
      <c r="M7" s="88">
        <v>0</v>
      </c>
    </row>
    <row r="8" spans="2:14" ht="15" customHeight="1" x14ac:dyDescent="0.25">
      <c r="B8" s="75" t="s">
        <v>726</v>
      </c>
      <c r="C8" s="76">
        <v>10</v>
      </c>
      <c r="D8" s="88">
        <v>400</v>
      </c>
      <c r="E8" s="88">
        <v>700</v>
      </c>
      <c r="F8" s="88">
        <v>850</v>
      </c>
      <c r="G8" s="88">
        <v>500</v>
      </c>
      <c r="H8" s="88">
        <v>0</v>
      </c>
      <c r="I8" s="88">
        <v>0</v>
      </c>
      <c r="J8" s="88">
        <v>190</v>
      </c>
      <c r="K8" s="88">
        <v>0</v>
      </c>
      <c r="L8" s="88">
        <v>0</v>
      </c>
      <c r="M8" s="88">
        <v>0</v>
      </c>
    </row>
    <row r="9" spans="2:14" ht="15" customHeight="1" x14ac:dyDescent="0.25">
      <c r="B9" s="75" t="s">
        <v>727</v>
      </c>
      <c r="C9" s="76">
        <v>7</v>
      </c>
      <c r="D9" s="88">
        <v>500</v>
      </c>
      <c r="E9" s="88">
        <v>1000</v>
      </c>
      <c r="F9" s="88">
        <v>1200</v>
      </c>
      <c r="G9" s="88">
        <v>600</v>
      </c>
      <c r="H9" s="88">
        <v>600</v>
      </c>
      <c r="I9" s="88">
        <v>1100</v>
      </c>
      <c r="J9" s="88">
        <v>0</v>
      </c>
      <c r="K9" s="88">
        <v>0</v>
      </c>
      <c r="L9" s="88">
        <v>475</v>
      </c>
      <c r="M9" s="88">
        <v>0</v>
      </c>
    </row>
    <row r="10" spans="2:14" ht="15" customHeight="1" x14ac:dyDescent="0.25">
      <c r="B10" s="75" t="s">
        <v>728</v>
      </c>
      <c r="C10" s="76">
        <v>10</v>
      </c>
      <c r="D10" s="88">
        <v>250</v>
      </c>
      <c r="E10" s="88">
        <v>400</v>
      </c>
      <c r="F10" s="88">
        <v>500</v>
      </c>
      <c r="G10" s="88">
        <v>380</v>
      </c>
      <c r="H10" s="88">
        <v>0</v>
      </c>
      <c r="I10" s="88">
        <v>0</v>
      </c>
      <c r="J10" s="88">
        <v>0</v>
      </c>
      <c r="K10" s="88">
        <v>190</v>
      </c>
      <c r="L10" s="88">
        <v>0</v>
      </c>
      <c r="M10" s="88">
        <v>0</v>
      </c>
    </row>
    <row r="11" spans="2:14" ht="15" customHeight="1" x14ac:dyDescent="0.25">
      <c r="B11" s="75" t="s">
        <v>729</v>
      </c>
      <c r="C11" s="76">
        <v>15</v>
      </c>
      <c r="D11" s="88">
        <v>0</v>
      </c>
      <c r="E11" s="88">
        <v>600</v>
      </c>
      <c r="F11" s="88">
        <v>1200</v>
      </c>
      <c r="G11" s="88">
        <v>800</v>
      </c>
      <c r="H11" s="88">
        <v>0</v>
      </c>
      <c r="I11" s="88">
        <v>0</v>
      </c>
      <c r="J11" s="88">
        <v>0</v>
      </c>
      <c r="K11" s="88">
        <v>475</v>
      </c>
      <c r="L11" s="88">
        <v>0</v>
      </c>
      <c r="M11" s="88">
        <v>0</v>
      </c>
    </row>
    <row r="12" spans="2:14" ht="15" customHeight="1" x14ac:dyDescent="0.25">
      <c r="B12" s="75" t="s">
        <v>730</v>
      </c>
      <c r="C12" s="76">
        <v>7</v>
      </c>
      <c r="D12" s="88">
        <v>570</v>
      </c>
      <c r="E12" s="88">
        <v>475</v>
      </c>
      <c r="F12" s="88">
        <v>380</v>
      </c>
      <c r="G12" s="88">
        <v>285</v>
      </c>
      <c r="H12" s="88">
        <v>285</v>
      </c>
      <c r="I12" s="88">
        <v>285</v>
      </c>
      <c r="J12" s="88">
        <v>0</v>
      </c>
      <c r="K12" s="88">
        <v>285</v>
      </c>
      <c r="L12" s="88">
        <v>0</v>
      </c>
      <c r="M12" s="88">
        <v>285</v>
      </c>
    </row>
    <row r="13" spans="2:14" ht="15" customHeight="1" x14ac:dyDescent="0.25">
      <c r="B13" s="75" t="s">
        <v>731</v>
      </c>
      <c r="C13" s="76">
        <v>5</v>
      </c>
      <c r="D13" s="88">
        <v>237.5</v>
      </c>
      <c r="E13" s="88">
        <v>380</v>
      </c>
      <c r="F13" s="88">
        <v>380</v>
      </c>
      <c r="G13" s="88">
        <v>285</v>
      </c>
      <c r="H13" s="88">
        <v>285</v>
      </c>
      <c r="I13" s="88">
        <v>285</v>
      </c>
      <c r="J13" s="88">
        <v>285</v>
      </c>
      <c r="K13" s="88">
        <v>285</v>
      </c>
      <c r="L13" s="88">
        <v>285</v>
      </c>
      <c r="M13" s="88">
        <v>285</v>
      </c>
    </row>
    <row r="14" spans="2:14" ht="15" customHeight="1" x14ac:dyDescent="0.25">
      <c r="B14" s="75" t="s">
        <v>732</v>
      </c>
      <c r="C14" s="76">
        <v>4</v>
      </c>
      <c r="D14" s="88">
        <v>475</v>
      </c>
      <c r="E14" s="88">
        <v>760</v>
      </c>
      <c r="F14" s="88">
        <v>950</v>
      </c>
      <c r="G14" s="88">
        <v>760</v>
      </c>
      <c r="H14" s="88">
        <v>570</v>
      </c>
      <c r="I14" s="88">
        <v>760</v>
      </c>
      <c r="J14" s="88">
        <v>570</v>
      </c>
      <c r="K14" s="88">
        <v>760</v>
      </c>
      <c r="L14" s="88">
        <v>570</v>
      </c>
      <c r="M14" s="88">
        <v>760</v>
      </c>
    </row>
    <row r="15" spans="2:14" ht="15" customHeight="1" x14ac:dyDescent="0.25">
      <c r="B15" s="75" t="s">
        <v>733</v>
      </c>
      <c r="C15" s="76">
        <v>20</v>
      </c>
      <c r="D15" s="88">
        <v>0</v>
      </c>
      <c r="E15" s="88">
        <v>500</v>
      </c>
      <c r="F15" s="88">
        <v>1000</v>
      </c>
      <c r="G15" s="88">
        <v>3000</v>
      </c>
      <c r="H15" s="88">
        <v>2200</v>
      </c>
      <c r="I15" s="88">
        <v>475</v>
      </c>
      <c r="J15" s="88">
        <v>0</v>
      </c>
      <c r="K15" s="88">
        <v>0</v>
      </c>
      <c r="L15" s="88">
        <v>475</v>
      </c>
      <c r="M15" s="88">
        <v>0</v>
      </c>
    </row>
    <row r="16" spans="2:14" ht="15" customHeight="1" x14ac:dyDescent="0.25">
      <c r="B16" s="75" t="s">
        <v>734</v>
      </c>
      <c r="C16" s="76">
        <v>20</v>
      </c>
      <c r="D16" s="88">
        <v>0</v>
      </c>
      <c r="E16" s="88">
        <v>400</v>
      </c>
      <c r="F16" s="88">
        <v>800</v>
      </c>
      <c r="G16" s="88">
        <v>2200</v>
      </c>
      <c r="H16" s="88">
        <v>2000</v>
      </c>
      <c r="I16" s="88">
        <v>475</v>
      </c>
      <c r="J16" s="88">
        <v>0</v>
      </c>
      <c r="K16" s="88">
        <v>0</v>
      </c>
      <c r="L16" s="88">
        <v>0</v>
      </c>
      <c r="M16" s="88">
        <v>0</v>
      </c>
    </row>
    <row r="17" spans="2:14" ht="15" customHeight="1" x14ac:dyDescent="0.25">
      <c r="B17" s="75" t="s">
        <v>735</v>
      </c>
      <c r="C17" s="76">
        <v>15</v>
      </c>
      <c r="D17" s="88">
        <v>400</v>
      </c>
      <c r="E17" s="88">
        <v>700</v>
      </c>
      <c r="F17" s="88">
        <v>1200</v>
      </c>
      <c r="G17" s="88">
        <v>1500</v>
      </c>
      <c r="H17" s="88">
        <v>1500</v>
      </c>
      <c r="I17" s="88">
        <v>760</v>
      </c>
      <c r="J17" s="88">
        <v>380</v>
      </c>
      <c r="K17" s="88">
        <v>380</v>
      </c>
      <c r="L17" s="88">
        <v>380</v>
      </c>
      <c r="M17" s="88">
        <v>380</v>
      </c>
    </row>
    <row r="18" spans="2:14" ht="15" customHeight="1" x14ac:dyDescent="0.25">
      <c r="B18" s="75" t="s">
        <v>736</v>
      </c>
      <c r="C18" s="76">
        <v>5</v>
      </c>
      <c r="D18" s="88">
        <v>380</v>
      </c>
      <c r="E18" s="88">
        <v>475</v>
      </c>
      <c r="F18" s="88">
        <v>570</v>
      </c>
      <c r="G18" s="88">
        <v>475</v>
      </c>
      <c r="H18" s="88">
        <v>475</v>
      </c>
      <c r="I18" s="88">
        <v>380</v>
      </c>
      <c r="J18" s="88">
        <v>380</v>
      </c>
      <c r="K18" s="88">
        <v>380</v>
      </c>
      <c r="L18" s="88">
        <v>380</v>
      </c>
      <c r="M18" s="88">
        <v>380</v>
      </c>
    </row>
    <row r="19" spans="2:14" ht="15" customHeight="1" x14ac:dyDescent="0.25">
      <c r="B19" s="75" t="s">
        <v>737</v>
      </c>
      <c r="C19" s="76">
        <v>5</v>
      </c>
      <c r="D19" s="88">
        <v>95</v>
      </c>
      <c r="E19" s="88">
        <v>190</v>
      </c>
      <c r="F19" s="88">
        <v>285</v>
      </c>
      <c r="G19" s="88">
        <v>285</v>
      </c>
      <c r="H19" s="88">
        <v>285</v>
      </c>
      <c r="I19" s="88">
        <v>190</v>
      </c>
      <c r="J19" s="88">
        <v>190</v>
      </c>
      <c r="K19" s="88">
        <v>190</v>
      </c>
      <c r="L19" s="88">
        <v>190</v>
      </c>
      <c r="M19" s="88">
        <v>190</v>
      </c>
    </row>
    <row r="20" spans="2:14" ht="33.75" customHeight="1" x14ac:dyDescent="0.25">
      <c r="B20" s="75" t="s">
        <v>738</v>
      </c>
      <c r="C20" s="76"/>
      <c r="D20" s="88"/>
      <c r="E20" s="88"/>
      <c r="F20" s="88"/>
      <c r="G20" s="88"/>
      <c r="H20" s="88"/>
      <c r="I20" s="88"/>
      <c r="J20" s="88"/>
      <c r="K20" s="88"/>
      <c r="L20" s="88"/>
      <c r="M20" s="88"/>
    </row>
    <row r="21" spans="2:14" ht="15" customHeight="1" x14ac:dyDescent="0.25">
      <c r="B21" s="41" t="s">
        <v>739</v>
      </c>
      <c r="D21" s="43">
        <f t="shared" ref="D21:M21" si="0">SUM(D6:D20)/100</f>
        <v>35.450000000000003</v>
      </c>
      <c r="E21" s="43">
        <f t="shared" si="0"/>
        <v>67.224999999999994</v>
      </c>
      <c r="F21" s="43">
        <f t="shared" si="0"/>
        <v>118.15</v>
      </c>
      <c r="G21" s="43">
        <f t="shared" si="0"/>
        <v>135.69999999999999</v>
      </c>
      <c r="H21" s="43">
        <f t="shared" si="0"/>
        <v>94.375</v>
      </c>
      <c r="I21" s="43">
        <f t="shared" si="0"/>
        <v>47.1</v>
      </c>
      <c r="J21" s="43">
        <f t="shared" si="0"/>
        <v>19.95</v>
      </c>
      <c r="K21" s="43">
        <f t="shared" si="0"/>
        <v>29.45</v>
      </c>
      <c r="L21" s="43">
        <f t="shared" si="0"/>
        <v>29.925000000000001</v>
      </c>
      <c r="M21" s="43">
        <f t="shared" si="0"/>
        <v>22.8</v>
      </c>
    </row>
    <row r="23" spans="2:14" ht="21.75" customHeight="1" x14ac:dyDescent="0.25">
      <c r="B23" s="110" t="s">
        <v>740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</row>
    <row r="24" spans="2:14" ht="15" customHeight="1" x14ac:dyDescent="0.25">
      <c r="B24" s="78" t="s">
        <v>741</v>
      </c>
      <c r="D24" s="14">
        <f t="shared" ref="D24:D38" si="1">(IF(C6&gt;0,D6/C6,0))/100</f>
        <v>0.3392857142857143</v>
      </c>
      <c r="E24" s="14">
        <f t="shared" ref="E24:E38" si="2">(IF(C6&gt;1,D6/C6,0)+IF(C6&gt;0,E6/C6,0))/100</f>
        <v>0.54285714285714293</v>
      </c>
      <c r="F24" s="14">
        <f t="shared" ref="F24:F38" si="3">(IF(C6&gt;2,D6/C6,0)+IF(C6&gt;1,E6/C6,0)+IF(C6&gt;0,F6/C6,0))/100</f>
        <v>0.54285714285714293</v>
      </c>
      <c r="G24" s="14">
        <f t="shared" ref="G24:G38" si="4">(IF(C6&gt;3,D6/C6,0)+IF(C6&gt;2,E6/C6,0)+IF(C6&gt;1,F6/C6,0)+IF(C6&gt;0,G6/C6,0))/100</f>
        <v>0.54285714285714293</v>
      </c>
      <c r="H24" s="14">
        <f t="shared" ref="H24:H38" si="5">(IF(C6&gt;4,D6/C6,0)+IF(C6&gt;3,E6/C6,0)+IF(C6&gt;2,F6/C6,0)+IF(C6&gt;1,G6/C6,0)+IF(C6&gt;0,H6/C6,0))/100</f>
        <v>0.88214285714285723</v>
      </c>
      <c r="I24" s="14">
        <f t="shared" ref="I24:I38" si="6">(IF(C6&gt;5,D6/C6,0)+IF(C6&gt;4,E6/C6,0)+IF(C6&gt;3,F6/C6,0)+IF(C6&gt;2,G6/C6,0)+IF(C6&gt;1,H6/C6,0)+IF(C6&gt;0,I6/C6,0))/100</f>
        <v>0.88214285714285723</v>
      </c>
      <c r="J24" s="14">
        <f t="shared" ref="J24:J38" si="7">(IF(C6&gt;6,D6/C6,0)+IF(C6&gt;5,E6/C6,0)+IF(C6&gt;4,F6/C6,0)+IF(C6&gt;3,G6/C6,0)+IF(C6&gt;2,H6/C6,0)+IF(C6&gt;1,I6/C6,0)+IF(C6&gt;0,J6/C6,0))/100</f>
        <v>0.88214285714285723</v>
      </c>
      <c r="K24" s="14">
        <f t="shared" ref="K24:K38" si="8">(IF(C6&gt;7,D6/C6,0)+IF(C6&gt;6,E6/C6,0)+IF(C6&gt;5,F6/C6,0)+IF(C6&gt;4,G6/C6,0)+IF(C6&gt;3,H6/C6,0)+IF(C6&gt;2,I6/C6,0)+IF(C6&gt;1,J6/C6,0)+IF(C6&gt;0,K6/C6,0))/100</f>
        <v>0.54285714285714293</v>
      </c>
      <c r="L24" s="14">
        <f t="shared" ref="L24:L38" si="9">(IF(C6&gt;8,D6/C6,0)+IF(C6&gt;7,E6/C6,0)+IF(C6&gt;6,F6/C6,0)+IF(C6&gt;5,G6/C6,0)+IF(C6&gt;4,H6/C6,0)+IF(C6&gt;3,I6/C6,0)+IF(C6&gt;2,J6/C6,0)+IF(C6&gt;1,K6/C6,0)+IF(C6&gt;0,L6/C6,0))/100</f>
        <v>0.6785714285714286</v>
      </c>
      <c r="M24" s="14">
        <f t="shared" ref="M24:M38" si="10">(IF(C6&gt;9,D6/C6,0)+IF(C6&gt;8,E6/C6,0)+IF(C6&gt;7,F6/C6,0)+IF(C6&gt;6,G6/C6,0)+IF(C6&gt;5,H6/C6,0)+IF(C6&gt;4,I6/C6,0)+IF(C6&gt;3,J6/C6,0)+IF(C6&gt;2,K6/C6,0)+IF(C6&gt;1,L6/C6,0)+IF(C6&gt;0,M6/C6,0))/100</f>
        <v>0.6785714285714286</v>
      </c>
    </row>
    <row r="25" spans="2:14" ht="23.25" customHeight="1" x14ac:dyDescent="0.25">
      <c r="B25" s="78" t="s">
        <v>742</v>
      </c>
      <c r="D25" s="14">
        <f t="shared" si="1"/>
        <v>0</v>
      </c>
      <c r="E25" s="14">
        <f t="shared" si="2"/>
        <v>0</v>
      </c>
      <c r="F25" s="14">
        <f t="shared" si="3"/>
        <v>1.6666666666666665</v>
      </c>
      <c r="G25" s="14">
        <f t="shared" si="4"/>
        <v>3.333333333333333</v>
      </c>
      <c r="H25" s="14">
        <f t="shared" si="5"/>
        <v>4</v>
      </c>
      <c r="I25" s="14">
        <f t="shared" si="6"/>
        <v>4</v>
      </c>
      <c r="J25" s="14">
        <f t="shared" si="7"/>
        <v>4</v>
      </c>
      <c r="K25" s="14">
        <f t="shared" si="8"/>
        <v>4</v>
      </c>
      <c r="L25" s="14">
        <f t="shared" si="9"/>
        <v>4</v>
      </c>
      <c r="M25" s="14">
        <f t="shared" si="10"/>
        <v>4</v>
      </c>
    </row>
    <row r="26" spans="2:14" ht="15" customHeight="1" x14ac:dyDescent="0.25">
      <c r="B26" s="78" t="s">
        <v>743</v>
      </c>
      <c r="D26" s="14">
        <f t="shared" si="1"/>
        <v>0.4</v>
      </c>
      <c r="E26" s="14">
        <f t="shared" si="2"/>
        <v>1.1000000000000001</v>
      </c>
      <c r="F26" s="14">
        <f t="shared" si="3"/>
        <v>1.95</v>
      </c>
      <c r="G26" s="14">
        <f t="shared" si="4"/>
        <v>2.4500000000000002</v>
      </c>
      <c r="H26" s="14">
        <f t="shared" si="5"/>
        <v>2.4500000000000002</v>
      </c>
      <c r="I26" s="14">
        <f t="shared" si="6"/>
        <v>2.4500000000000002</v>
      </c>
      <c r="J26" s="14">
        <f t="shared" si="7"/>
        <v>2.64</v>
      </c>
      <c r="K26" s="14">
        <f t="shared" si="8"/>
        <v>2.64</v>
      </c>
      <c r="L26" s="14">
        <f t="shared" si="9"/>
        <v>2.64</v>
      </c>
      <c r="M26" s="14">
        <f t="shared" si="10"/>
        <v>2.64</v>
      </c>
    </row>
    <row r="27" spans="2:14" ht="15" customHeight="1" x14ac:dyDescent="0.25">
      <c r="B27" s="78" t="s">
        <v>744</v>
      </c>
      <c r="D27" s="14">
        <f t="shared" si="1"/>
        <v>0.7142857142857143</v>
      </c>
      <c r="E27" s="14">
        <f t="shared" si="2"/>
        <v>2.1428571428571428</v>
      </c>
      <c r="F27" s="14">
        <f t="shared" si="3"/>
        <v>3.8571428571428568</v>
      </c>
      <c r="G27" s="14">
        <f t="shared" si="4"/>
        <v>4.7142857142857135</v>
      </c>
      <c r="H27" s="14">
        <f t="shared" si="5"/>
        <v>5.5714285714285712</v>
      </c>
      <c r="I27" s="14">
        <f t="shared" si="6"/>
        <v>7.1428571428571423</v>
      </c>
      <c r="J27" s="14">
        <f t="shared" si="7"/>
        <v>7.1428571428571423</v>
      </c>
      <c r="K27" s="14">
        <f t="shared" si="8"/>
        <v>6.4285714285714288</v>
      </c>
      <c r="L27" s="14">
        <f t="shared" si="9"/>
        <v>5.6785714285714288</v>
      </c>
      <c r="M27" s="14">
        <f t="shared" si="10"/>
        <v>3.9642857142857144</v>
      </c>
    </row>
    <row r="28" spans="2:14" ht="23.25" customHeight="1" x14ac:dyDescent="0.25">
      <c r="B28" s="78" t="s">
        <v>745</v>
      </c>
      <c r="D28" s="14">
        <f t="shared" si="1"/>
        <v>0.25</v>
      </c>
      <c r="E28" s="14">
        <f t="shared" si="2"/>
        <v>0.65</v>
      </c>
      <c r="F28" s="14">
        <f t="shared" si="3"/>
        <v>1.1499999999999999</v>
      </c>
      <c r="G28" s="14">
        <f t="shared" si="4"/>
        <v>1.53</v>
      </c>
      <c r="H28" s="14">
        <f t="shared" si="5"/>
        <v>1.53</v>
      </c>
      <c r="I28" s="14">
        <f t="shared" si="6"/>
        <v>1.53</v>
      </c>
      <c r="J28" s="14">
        <f t="shared" si="7"/>
        <v>1.53</v>
      </c>
      <c r="K28" s="14">
        <f t="shared" si="8"/>
        <v>1.72</v>
      </c>
      <c r="L28" s="14">
        <f t="shared" si="9"/>
        <v>1.72</v>
      </c>
      <c r="M28" s="14">
        <f t="shared" si="10"/>
        <v>1.72</v>
      </c>
    </row>
    <row r="29" spans="2:14" ht="23.25" customHeight="1" x14ac:dyDescent="0.25">
      <c r="B29" s="78" t="s">
        <v>746</v>
      </c>
      <c r="D29" s="14">
        <f t="shared" si="1"/>
        <v>0</v>
      </c>
      <c r="E29" s="14">
        <f t="shared" si="2"/>
        <v>0.4</v>
      </c>
      <c r="F29" s="14">
        <f t="shared" si="3"/>
        <v>1.2</v>
      </c>
      <c r="G29" s="14">
        <f t="shared" si="4"/>
        <v>1.7333333333333334</v>
      </c>
      <c r="H29" s="14">
        <f t="shared" si="5"/>
        <v>1.7333333333333334</v>
      </c>
      <c r="I29" s="14">
        <f t="shared" si="6"/>
        <v>1.7333333333333334</v>
      </c>
      <c r="J29" s="14">
        <f t="shared" si="7"/>
        <v>1.7333333333333334</v>
      </c>
      <c r="K29" s="14">
        <f t="shared" si="8"/>
        <v>2.0499999999999998</v>
      </c>
      <c r="L29" s="14">
        <f t="shared" si="9"/>
        <v>2.0499999999999998</v>
      </c>
      <c r="M29" s="14">
        <f t="shared" si="10"/>
        <v>2.0499999999999998</v>
      </c>
    </row>
    <row r="30" spans="2:14" ht="23.25" customHeight="1" x14ac:dyDescent="0.25">
      <c r="B30" s="78" t="s">
        <v>747</v>
      </c>
      <c r="D30" s="14">
        <f t="shared" si="1"/>
        <v>0.81428571428571428</v>
      </c>
      <c r="E30" s="14">
        <f t="shared" si="2"/>
        <v>1.4928571428571429</v>
      </c>
      <c r="F30" s="14">
        <f t="shared" si="3"/>
        <v>2.0357142857142856</v>
      </c>
      <c r="G30" s="14">
        <f t="shared" si="4"/>
        <v>2.4428571428571426</v>
      </c>
      <c r="H30" s="14">
        <f t="shared" si="5"/>
        <v>2.85</v>
      </c>
      <c r="I30" s="14">
        <f t="shared" si="6"/>
        <v>3.2571428571428571</v>
      </c>
      <c r="J30" s="14">
        <f t="shared" si="7"/>
        <v>3.2571428571428571</v>
      </c>
      <c r="K30" s="14">
        <f t="shared" si="8"/>
        <v>2.85</v>
      </c>
      <c r="L30" s="14">
        <f t="shared" si="9"/>
        <v>2.1714285714285717</v>
      </c>
      <c r="M30" s="14">
        <f t="shared" si="10"/>
        <v>2.035714285714286</v>
      </c>
    </row>
    <row r="31" spans="2:14" ht="15" customHeight="1" x14ac:dyDescent="0.25">
      <c r="B31" s="78" t="s">
        <v>748</v>
      </c>
      <c r="D31" s="14">
        <f t="shared" si="1"/>
        <v>0.47499999999999998</v>
      </c>
      <c r="E31" s="14">
        <f t="shared" si="2"/>
        <v>1.2350000000000001</v>
      </c>
      <c r="F31" s="14">
        <f t="shared" si="3"/>
        <v>1.9950000000000001</v>
      </c>
      <c r="G31" s="14">
        <f t="shared" si="4"/>
        <v>2.5649999999999999</v>
      </c>
      <c r="H31" s="14">
        <f t="shared" si="5"/>
        <v>3.1349999999999998</v>
      </c>
      <c r="I31" s="14">
        <f t="shared" si="6"/>
        <v>3.23</v>
      </c>
      <c r="J31" s="14">
        <f t="shared" si="7"/>
        <v>3.04</v>
      </c>
      <c r="K31" s="14">
        <f t="shared" si="8"/>
        <v>2.85</v>
      </c>
      <c r="L31" s="14">
        <f t="shared" si="9"/>
        <v>2.85</v>
      </c>
      <c r="M31" s="14">
        <f t="shared" si="10"/>
        <v>2.85</v>
      </c>
    </row>
    <row r="32" spans="2:14" ht="15" customHeight="1" x14ac:dyDescent="0.25">
      <c r="B32" s="78" t="s">
        <v>749</v>
      </c>
      <c r="D32" s="14">
        <f t="shared" si="1"/>
        <v>1.1875</v>
      </c>
      <c r="E32" s="14">
        <f t="shared" si="2"/>
        <v>3.0874999999999999</v>
      </c>
      <c r="F32" s="14">
        <f t="shared" si="3"/>
        <v>5.4625000000000004</v>
      </c>
      <c r="G32" s="14">
        <f t="shared" si="4"/>
        <v>7.3624999999999998</v>
      </c>
      <c r="H32" s="14">
        <f t="shared" si="5"/>
        <v>7.6</v>
      </c>
      <c r="I32" s="14">
        <f t="shared" si="6"/>
        <v>7.6</v>
      </c>
      <c r="J32" s="14">
        <f t="shared" si="7"/>
        <v>6.65</v>
      </c>
      <c r="K32" s="14">
        <f t="shared" si="8"/>
        <v>6.65</v>
      </c>
      <c r="L32" s="14">
        <f t="shared" si="9"/>
        <v>6.65</v>
      </c>
      <c r="M32" s="14">
        <f t="shared" si="10"/>
        <v>6.65</v>
      </c>
    </row>
    <row r="33" spans="2:13" ht="15" customHeight="1" x14ac:dyDescent="0.25">
      <c r="B33" s="78" t="s">
        <v>750</v>
      </c>
      <c r="D33" s="14">
        <f t="shared" si="1"/>
        <v>0</v>
      </c>
      <c r="E33" s="14">
        <f t="shared" si="2"/>
        <v>0.25</v>
      </c>
      <c r="F33" s="14">
        <f t="shared" si="3"/>
        <v>0.75</v>
      </c>
      <c r="G33" s="14">
        <f t="shared" si="4"/>
        <v>2.25</v>
      </c>
      <c r="H33" s="14">
        <f t="shared" si="5"/>
        <v>3.35</v>
      </c>
      <c r="I33" s="14">
        <f t="shared" si="6"/>
        <v>3.5874999999999999</v>
      </c>
      <c r="J33" s="14">
        <f t="shared" si="7"/>
        <v>3.5874999999999999</v>
      </c>
      <c r="K33" s="14">
        <f t="shared" si="8"/>
        <v>3.5874999999999999</v>
      </c>
      <c r="L33" s="14">
        <f t="shared" si="9"/>
        <v>3.8250000000000002</v>
      </c>
      <c r="M33" s="14">
        <f t="shared" si="10"/>
        <v>3.8250000000000002</v>
      </c>
    </row>
    <row r="34" spans="2:13" ht="15" customHeight="1" x14ac:dyDescent="0.25">
      <c r="B34" s="78" t="s">
        <v>751</v>
      </c>
      <c r="D34" s="14">
        <f t="shared" si="1"/>
        <v>0</v>
      </c>
      <c r="E34" s="14">
        <f t="shared" si="2"/>
        <v>0.2</v>
      </c>
      <c r="F34" s="14">
        <f t="shared" si="3"/>
        <v>0.6</v>
      </c>
      <c r="G34" s="14">
        <f t="shared" si="4"/>
        <v>1.7</v>
      </c>
      <c r="H34" s="14">
        <f t="shared" si="5"/>
        <v>2.7</v>
      </c>
      <c r="I34" s="14">
        <f t="shared" si="6"/>
        <v>2.9375</v>
      </c>
      <c r="J34" s="14">
        <f t="shared" si="7"/>
        <v>2.9375</v>
      </c>
      <c r="K34" s="14">
        <f t="shared" si="8"/>
        <v>2.9375</v>
      </c>
      <c r="L34" s="14">
        <f t="shared" si="9"/>
        <v>2.9375</v>
      </c>
      <c r="M34" s="14">
        <f t="shared" si="10"/>
        <v>2.9375</v>
      </c>
    </row>
    <row r="35" spans="2:13" ht="15" customHeight="1" x14ac:dyDescent="0.25">
      <c r="B35" s="78" t="s">
        <v>752</v>
      </c>
      <c r="D35" s="14">
        <f t="shared" si="1"/>
        <v>0.26666666666666666</v>
      </c>
      <c r="E35" s="14">
        <f t="shared" si="2"/>
        <v>0.73333333333333328</v>
      </c>
      <c r="F35" s="14">
        <f t="shared" si="3"/>
        <v>1.5333333333333332</v>
      </c>
      <c r="G35" s="14">
        <f t="shared" si="4"/>
        <v>2.5333333333333332</v>
      </c>
      <c r="H35" s="14">
        <f t="shared" si="5"/>
        <v>3.5333333333333332</v>
      </c>
      <c r="I35" s="14">
        <f t="shared" si="6"/>
        <v>4.04</v>
      </c>
      <c r="J35" s="14">
        <f t="shared" si="7"/>
        <v>4.293333333333333</v>
      </c>
      <c r="K35" s="14">
        <f t="shared" si="8"/>
        <v>4.546666666666666</v>
      </c>
      <c r="L35" s="14">
        <f t="shared" si="9"/>
        <v>4.8</v>
      </c>
      <c r="M35" s="14">
        <f t="shared" si="10"/>
        <v>5.0533333333333328</v>
      </c>
    </row>
    <row r="36" spans="2:13" ht="15" customHeight="1" x14ac:dyDescent="0.25">
      <c r="B36" s="78" t="s">
        <v>753</v>
      </c>
      <c r="D36" s="14">
        <f t="shared" si="1"/>
        <v>0.76</v>
      </c>
      <c r="E36" s="14">
        <f t="shared" si="2"/>
        <v>1.71</v>
      </c>
      <c r="F36" s="14">
        <f t="shared" si="3"/>
        <v>2.85</v>
      </c>
      <c r="G36" s="14">
        <f t="shared" si="4"/>
        <v>3.8</v>
      </c>
      <c r="H36" s="14">
        <f t="shared" si="5"/>
        <v>4.75</v>
      </c>
      <c r="I36" s="14">
        <f t="shared" si="6"/>
        <v>4.75</v>
      </c>
      <c r="J36" s="14">
        <f t="shared" si="7"/>
        <v>4.5599999999999996</v>
      </c>
      <c r="K36" s="14">
        <f t="shared" si="8"/>
        <v>4.18</v>
      </c>
      <c r="L36" s="14">
        <f t="shared" si="9"/>
        <v>3.99</v>
      </c>
      <c r="M36" s="14">
        <f t="shared" si="10"/>
        <v>3.8</v>
      </c>
    </row>
    <row r="37" spans="2:13" ht="15" customHeight="1" x14ac:dyDescent="0.25">
      <c r="B37" s="78" t="s">
        <v>754</v>
      </c>
      <c r="D37" s="14">
        <f t="shared" si="1"/>
        <v>0.19</v>
      </c>
      <c r="E37" s="14">
        <f t="shared" si="2"/>
        <v>0.56999999999999995</v>
      </c>
      <c r="F37" s="14">
        <f t="shared" si="3"/>
        <v>1.1399999999999999</v>
      </c>
      <c r="G37" s="14">
        <f t="shared" si="4"/>
        <v>1.71</v>
      </c>
      <c r="H37" s="14">
        <f t="shared" si="5"/>
        <v>2.2799999999999998</v>
      </c>
      <c r="I37" s="14">
        <f t="shared" si="6"/>
        <v>2.4700000000000002</v>
      </c>
      <c r="J37" s="14">
        <f t="shared" si="7"/>
        <v>2.4700000000000002</v>
      </c>
      <c r="K37" s="14">
        <f t="shared" si="8"/>
        <v>2.2799999999999998</v>
      </c>
      <c r="L37" s="14">
        <f t="shared" si="9"/>
        <v>2.09</v>
      </c>
      <c r="M37" s="14">
        <f t="shared" si="10"/>
        <v>1.9</v>
      </c>
    </row>
    <row r="38" spans="2:13" ht="23.25" customHeight="1" x14ac:dyDescent="0.25">
      <c r="B38" s="78" t="s">
        <v>755</v>
      </c>
      <c r="D38" s="14">
        <f t="shared" si="1"/>
        <v>0</v>
      </c>
      <c r="E38" s="14">
        <f t="shared" si="2"/>
        <v>0</v>
      </c>
      <c r="F38" s="14">
        <f t="shared" si="3"/>
        <v>0</v>
      </c>
      <c r="G38" s="14">
        <f t="shared" si="4"/>
        <v>0</v>
      </c>
      <c r="H38" s="14">
        <f t="shared" si="5"/>
        <v>0</v>
      </c>
      <c r="I38" s="14">
        <f t="shared" si="6"/>
        <v>0</v>
      </c>
      <c r="J38" s="14">
        <f t="shared" si="7"/>
        <v>0</v>
      </c>
      <c r="K38" s="14">
        <f t="shared" si="8"/>
        <v>0</v>
      </c>
      <c r="L38" s="14">
        <f t="shared" si="9"/>
        <v>0</v>
      </c>
      <c r="M38" s="14">
        <f t="shared" si="10"/>
        <v>0</v>
      </c>
    </row>
    <row r="39" spans="2:13" ht="15" customHeight="1" x14ac:dyDescent="0.25">
      <c r="B39" s="41" t="s">
        <v>756</v>
      </c>
      <c r="D39" s="43">
        <f t="shared" ref="D39:M39" si="11">SUM(D24:D38)</f>
        <v>5.3970238095238106</v>
      </c>
      <c r="E39" s="43">
        <f t="shared" si="11"/>
        <v>14.114404761904762</v>
      </c>
      <c r="F39" s="43">
        <f t="shared" si="11"/>
        <v>26.73321428571429</v>
      </c>
      <c r="G39" s="43">
        <f t="shared" si="11"/>
        <v>38.667499999999997</v>
      </c>
      <c r="H39" s="43">
        <f t="shared" si="11"/>
        <v>46.365238095238098</v>
      </c>
      <c r="I39" s="43">
        <f t="shared" si="11"/>
        <v>49.610476190476184</v>
      </c>
      <c r="J39" s="43">
        <f t="shared" si="11"/>
        <v>48.723809523809521</v>
      </c>
      <c r="K39" s="43">
        <f t="shared" si="11"/>
        <v>47.263095238095239</v>
      </c>
      <c r="L39" s="43">
        <f t="shared" si="11"/>
        <v>46.081071428571434</v>
      </c>
      <c r="M39" s="43">
        <f t="shared" si="11"/>
        <v>44.10440476190476</v>
      </c>
    </row>
  </sheetData>
  <mergeCells count="3">
    <mergeCell ref="B2:N2"/>
    <mergeCell ref="B5:N5"/>
    <mergeCell ref="B23:N23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2:N23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27" sqref="F27"/>
    </sheetView>
  </sheetViews>
  <sheetFormatPr defaultColWidth="8.7109375" defaultRowHeight="15" x14ac:dyDescent="0.25"/>
  <cols>
    <col min="1" max="1" width="1.5703125" customWidth="1"/>
    <col min="2" max="2" width="44" customWidth="1"/>
    <col min="3" max="3" width="22" customWidth="1"/>
    <col min="4" max="13" width="13" customWidth="1"/>
  </cols>
  <sheetData>
    <row r="2" spans="2:14" ht="24" customHeight="1" x14ac:dyDescent="0.25">
      <c r="B2" s="108" t="s">
        <v>757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4" spans="2:14" ht="15" customHeight="1" x14ac:dyDescent="0.25">
      <c r="B4" s="9" t="s">
        <v>721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4" ht="21.75" customHeight="1" x14ac:dyDescent="0.25">
      <c r="B5" s="110" t="s">
        <v>758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</row>
    <row r="6" spans="2:14" ht="15" customHeight="1" x14ac:dyDescent="0.25">
      <c r="B6" s="75" t="s">
        <v>759</v>
      </c>
      <c r="D6" s="88">
        <v>142.5</v>
      </c>
      <c r="E6" s="88">
        <v>213.75</v>
      </c>
      <c r="F6" s="88">
        <v>332.5</v>
      </c>
      <c r="G6" s="88">
        <v>427.5</v>
      </c>
      <c r="H6" s="88">
        <v>522.5</v>
      </c>
      <c r="I6" s="88">
        <v>593.75</v>
      </c>
      <c r="J6" s="88">
        <v>665</v>
      </c>
      <c r="K6" s="88">
        <v>712.5</v>
      </c>
      <c r="L6" s="88">
        <v>760</v>
      </c>
      <c r="M6" s="88">
        <v>807.5</v>
      </c>
    </row>
    <row r="7" spans="2:14" ht="15" customHeight="1" x14ac:dyDescent="0.25">
      <c r="B7" s="75" t="s">
        <v>760</v>
      </c>
      <c r="D7" s="88">
        <v>133</v>
      </c>
      <c r="E7" s="88">
        <v>266</v>
      </c>
      <c r="F7" s="88">
        <v>465.5</v>
      </c>
      <c r="G7" s="88">
        <v>665</v>
      </c>
      <c r="H7" s="88">
        <v>931</v>
      </c>
      <c r="I7" s="88">
        <v>1197</v>
      </c>
      <c r="J7" s="88">
        <v>1463</v>
      </c>
      <c r="K7" s="88">
        <v>1662.5</v>
      </c>
      <c r="L7" s="88">
        <v>1862</v>
      </c>
      <c r="M7" s="88">
        <v>2061.5</v>
      </c>
    </row>
    <row r="8" spans="2:14" ht="15" customHeight="1" x14ac:dyDescent="0.25">
      <c r="B8" s="75" t="s">
        <v>761</v>
      </c>
      <c r="D8" s="88">
        <v>342</v>
      </c>
      <c r="E8" s="88">
        <v>598.5</v>
      </c>
      <c r="F8" s="88">
        <v>855</v>
      </c>
      <c r="G8" s="88">
        <v>1111.5</v>
      </c>
      <c r="H8" s="88">
        <v>1282.5</v>
      </c>
      <c r="I8" s="88">
        <v>1453.5</v>
      </c>
      <c r="J8" s="88">
        <v>1624.5</v>
      </c>
      <c r="K8" s="88">
        <v>1710</v>
      </c>
      <c r="L8" s="88">
        <v>1795.5</v>
      </c>
      <c r="M8" s="88">
        <v>1881</v>
      </c>
    </row>
    <row r="9" spans="2:14" ht="15" customHeight="1" x14ac:dyDescent="0.25">
      <c r="B9" s="75" t="s">
        <v>762</v>
      </c>
      <c r="D9" s="88">
        <v>76</v>
      </c>
      <c r="E9" s="88">
        <v>152</v>
      </c>
      <c r="F9" s="88">
        <v>266</v>
      </c>
      <c r="G9" s="88">
        <v>380</v>
      </c>
      <c r="H9" s="88">
        <v>532</v>
      </c>
      <c r="I9" s="88">
        <v>684</v>
      </c>
      <c r="J9" s="88">
        <v>798</v>
      </c>
      <c r="K9" s="88">
        <v>912</v>
      </c>
      <c r="L9" s="88">
        <v>1026</v>
      </c>
      <c r="M9" s="88">
        <v>1140</v>
      </c>
    </row>
    <row r="10" spans="2:14" ht="15" customHeight="1" x14ac:dyDescent="0.25">
      <c r="B10" s="75" t="s">
        <v>763</v>
      </c>
      <c r="D10" s="88">
        <v>142.5</v>
      </c>
      <c r="E10" s="88">
        <v>285</v>
      </c>
      <c r="F10" s="88">
        <v>475</v>
      </c>
      <c r="G10" s="88">
        <v>665</v>
      </c>
      <c r="H10" s="88">
        <v>855</v>
      </c>
      <c r="I10" s="88">
        <v>950</v>
      </c>
      <c r="J10" s="88">
        <v>1045</v>
      </c>
      <c r="K10" s="88">
        <v>1140</v>
      </c>
      <c r="L10" s="88">
        <v>1235</v>
      </c>
      <c r="M10" s="88">
        <v>1330</v>
      </c>
    </row>
    <row r="11" spans="2:14" ht="15" customHeight="1" x14ac:dyDescent="0.25">
      <c r="B11" s="75" t="s">
        <v>764</v>
      </c>
      <c r="D11" s="88">
        <v>95</v>
      </c>
      <c r="E11" s="88">
        <v>285</v>
      </c>
      <c r="F11" s="88">
        <v>570</v>
      </c>
      <c r="G11" s="88">
        <v>855</v>
      </c>
      <c r="H11" s="88">
        <v>1140</v>
      </c>
      <c r="I11" s="88">
        <v>1235</v>
      </c>
      <c r="J11" s="88">
        <v>1330</v>
      </c>
      <c r="K11" s="88">
        <v>1425</v>
      </c>
      <c r="L11" s="88">
        <v>1425</v>
      </c>
      <c r="M11" s="88">
        <v>1425</v>
      </c>
    </row>
    <row r="12" spans="2:14" ht="15" customHeight="1" x14ac:dyDescent="0.25">
      <c r="B12" s="75" t="s">
        <v>765</v>
      </c>
      <c r="D12" s="88">
        <f>Assumptions!$C$18*100*(1+Assumptions!$C$8)^0</f>
        <v>200</v>
      </c>
      <c r="E12" s="88">
        <f>Assumptions!$C$18*100*(1+Assumptions!$C$8)^1</f>
        <v>208</v>
      </c>
      <c r="F12" s="88">
        <f>Assumptions!$C$18*100*(1+Assumptions!$C$8)^2</f>
        <v>216.32000000000002</v>
      </c>
      <c r="G12" s="88">
        <f>Assumptions!$C$18*100*(1+Assumptions!$C$8)^3</f>
        <v>224.97280000000001</v>
      </c>
      <c r="H12" s="88">
        <f>Assumptions!$C$18*100*(1+Assumptions!$C$8)^4</f>
        <v>233.97171200000005</v>
      </c>
      <c r="I12" s="88">
        <f>Assumptions!$C$18*100*(1+Assumptions!$C$8)^5</f>
        <v>243.33058048000007</v>
      </c>
      <c r="J12" s="88">
        <f>Assumptions!$C$18*100*(1+Assumptions!$C$8)^6</f>
        <v>253.06380369920007</v>
      </c>
      <c r="K12" s="88">
        <f>Assumptions!$C$18*100*(1+Assumptions!$C$8)^7</f>
        <v>263.18635584716804</v>
      </c>
      <c r="L12" s="88">
        <f>Assumptions!$C$18*100*(1+Assumptions!$C$8)^8</f>
        <v>273.71381008105482</v>
      </c>
      <c r="M12" s="88">
        <f>Assumptions!$C$18*100*(1+Assumptions!$C$8)^9</f>
        <v>284.66236248429703</v>
      </c>
    </row>
    <row r="13" spans="2:14" ht="15" customHeight="1" x14ac:dyDescent="0.25">
      <c r="B13" s="75" t="s">
        <v>766</v>
      </c>
      <c r="D13" s="88">
        <f>Assumptions!$C$19*100*(1+Assumptions!$C$8)^0</f>
        <v>1425</v>
      </c>
      <c r="E13" s="88">
        <f>Assumptions!$C$19*100*(1+Assumptions!$C$8)^1</f>
        <v>1482</v>
      </c>
      <c r="F13" s="88">
        <f>Assumptions!$C$19*100*(1+Assumptions!$C$8)^2</f>
        <v>1541.2800000000002</v>
      </c>
      <c r="G13" s="88">
        <f>Assumptions!$C$19*100*(1+Assumptions!$C$8)^3</f>
        <v>1602.9312000000002</v>
      </c>
      <c r="H13" s="88">
        <f>Assumptions!$C$19*100*(1+Assumptions!$C$8)^4</f>
        <v>1667.0484480000002</v>
      </c>
      <c r="I13" s="88">
        <f>Assumptions!$C$19*100*(1+Assumptions!$C$8)^5</f>
        <v>1733.7303859200006</v>
      </c>
      <c r="J13" s="88">
        <f>Assumptions!$C$19*100*(1+Assumptions!$C$8)^6</f>
        <v>1803.0796013568006</v>
      </c>
      <c r="K13" s="88">
        <f>Assumptions!$C$19*100*(1+Assumptions!$C$8)^7</f>
        <v>1875.2027854110725</v>
      </c>
      <c r="L13" s="88">
        <f>Assumptions!$C$19*100*(1+Assumptions!$C$8)^8</f>
        <v>1950.2108968275156</v>
      </c>
      <c r="M13" s="88">
        <f>Assumptions!$C$19*100*(1+Assumptions!$C$8)^9</f>
        <v>2028.2193327006164</v>
      </c>
    </row>
    <row r="14" spans="2:14" ht="15" customHeight="1" x14ac:dyDescent="0.25">
      <c r="B14" s="75" t="s">
        <v>767</v>
      </c>
      <c r="D14" s="88">
        <f>Assumptions!$C$20*100*(1+Assumptions!$C$8)^0</f>
        <v>855.00000000000011</v>
      </c>
      <c r="E14" s="88">
        <f>Assumptions!$C$20*100*(1+Assumptions!$C$8)^1</f>
        <v>889.20000000000016</v>
      </c>
      <c r="F14" s="88">
        <f>Assumptions!$C$20*100*(1+Assumptions!$C$8)^2</f>
        <v>924.76800000000026</v>
      </c>
      <c r="G14" s="88">
        <f>Assumptions!$C$20*100*(1+Assumptions!$C$8)^3</f>
        <v>961.75872000000015</v>
      </c>
      <c r="H14" s="88">
        <f>Assumptions!$C$20*100*(1+Assumptions!$C$8)^4</f>
        <v>1000.2290688000003</v>
      </c>
      <c r="I14" s="88">
        <f>Assumptions!$C$20*100*(1+Assumptions!$C$8)^5</f>
        <v>1040.2382315520003</v>
      </c>
      <c r="J14" s="88">
        <f>Assumptions!$C$20*100*(1+Assumptions!$C$8)^6</f>
        <v>1081.8477608140804</v>
      </c>
      <c r="K14" s="88">
        <f>Assumptions!$C$20*100*(1+Assumptions!$C$8)^7</f>
        <v>1125.1216712466435</v>
      </c>
      <c r="L14" s="88">
        <f>Assumptions!$C$20*100*(1+Assumptions!$C$8)^8</f>
        <v>1170.1265380965094</v>
      </c>
      <c r="M14" s="88">
        <f>Assumptions!$C$20*100*(1+Assumptions!$C$8)^9</f>
        <v>1216.93159962037</v>
      </c>
    </row>
    <row r="15" spans="2:14" ht="15" customHeight="1" x14ac:dyDescent="0.25">
      <c r="B15" s="75" t="s">
        <v>768</v>
      </c>
      <c r="D15" s="88">
        <v>47.5</v>
      </c>
      <c r="E15" s="88">
        <v>95</v>
      </c>
      <c r="F15" s="88">
        <v>190</v>
      </c>
      <c r="G15" s="88">
        <v>285</v>
      </c>
      <c r="H15" s="88">
        <v>427.5</v>
      </c>
      <c r="I15" s="88">
        <v>570</v>
      </c>
      <c r="J15" s="88">
        <v>712.5</v>
      </c>
      <c r="K15" s="88">
        <v>807.5</v>
      </c>
      <c r="L15" s="88">
        <v>902.5</v>
      </c>
      <c r="M15" s="88">
        <v>997.5</v>
      </c>
    </row>
    <row r="16" spans="2:14" ht="15" customHeight="1" x14ac:dyDescent="0.25">
      <c r="B16" s="75" t="s">
        <v>769</v>
      </c>
      <c r="D16" s="88">
        <v>57</v>
      </c>
      <c r="E16" s="88">
        <v>85.5</v>
      </c>
      <c r="F16" s="88">
        <v>142.5</v>
      </c>
      <c r="G16" s="88">
        <v>199.5</v>
      </c>
      <c r="H16" s="88">
        <v>256.5</v>
      </c>
      <c r="I16" s="88">
        <v>313.5</v>
      </c>
      <c r="J16" s="88">
        <v>342</v>
      </c>
      <c r="K16" s="88">
        <v>370.5</v>
      </c>
      <c r="L16" s="88">
        <v>399</v>
      </c>
      <c r="M16" s="88">
        <v>427.5</v>
      </c>
    </row>
    <row r="17" spans="2:13" ht="15" customHeight="1" x14ac:dyDescent="0.25">
      <c r="B17" s="75" t="s">
        <v>770</v>
      </c>
      <c r="D17" s="88">
        <v>76</v>
      </c>
      <c r="E17" s="88">
        <v>152</v>
      </c>
      <c r="F17" s="88">
        <v>266</v>
      </c>
      <c r="G17" s="88">
        <v>418</v>
      </c>
      <c r="H17" s="88">
        <v>570</v>
      </c>
      <c r="I17" s="88">
        <v>760</v>
      </c>
      <c r="J17" s="88">
        <v>950</v>
      </c>
      <c r="K17" s="88">
        <v>1102</v>
      </c>
      <c r="L17" s="88">
        <v>1254</v>
      </c>
      <c r="M17" s="88">
        <v>1368</v>
      </c>
    </row>
    <row r="18" spans="2:13" ht="15" customHeight="1" x14ac:dyDescent="0.25">
      <c r="B18" s="75" t="s">
        <v>771</v>
      </c>
      <c r="D18" s="88">
        <v>57</v>
      </c>
      <c r="E18" s="88">
        <v>114</v>
      </c>
      <c r="F18" s="88">
        <v>199.5</v>
      </c>
      <c r="G18" s="88">
        <v>256.5</v>
      </c>
      <c r="H18" s="88">
        <v>285</v>
      </c>
      <c r="I18" s="88">
        <v>285</v>
      </c>
      <c r="J18" s="88">
        <v>285</v>
      </c>
      <c r="K18" s="88">
        <v>285</v>
      </c>
      <c r="L18" s="88">
        <v>285</v>
      </c>
      <c r="M18" s="88">
        <v>285</v>
      </c>
    </row>
    <row r="19" spans="2:13" ht="15" customHeight="1" x14ac:dyDescent="0.25">
      <c r="B19" s="75" t="s">
        <v>772</v>
      </c>
      <c r="D19" s="88">
        <v>0</v>
      </c>
      <c r="E19" s="88">
        <v>0</v>
      </c>
      <c r="F19" s="88">
        <v>142.5</v>
      </c>
      <c r="G19" s="88">
        <v>332.5</v>
      </c>
      <c r="H19" s="88">
        <v>570</v>
      </c>
      <c r="I19" s="88">
        <v>712.5</v>
      </c>
      <c r="J19" s="88">
        <v>807.5</v>
      </c>
      <c r="K19" s="88">
        <v>902.5</v>
      </c>
      <c r="L19" s="88">
        <v>997.5</v>
      </c>
      <c r="M19" s="88">
        <v>1092.5</v>
      </c>
    </row>
    <row r="20" spans="2:13" ht="15" customHeight="1" x14ac:dyDescent="0.25">
      <c r="B20" s="75" t="s">
        <v>773</v>
      </c>
      <c r="D20" s="88">
        <v>57</v>
      </c>
      <c r="E20" s="88">
        <v>95</v>
      </c>
      <c r="F20" s="88">
        <v>152</v>
      </c>
      <c r="G20" s="88">
        <v>228</v>
      </c>
      <c r="H20" s="88">
        <v>304</v>
      </c>
      <c r="I20" s="88">
        <v>380</v>
      </c>
      <c r="J20" s="88">
        <v>456</v>
      </c>
      <c r="K20" s="88">
        <v>532</v>
      </c>
      <c r="L20" s="88">
        <v>608</v>
      </c>
      <c r="M20" s="88">
        <v>684</v>
      </c>
    </row>
    <row r="21" spans="2:13" ht="15" customHeight="1" x14ac:dyDescent="0.25">
      <c r="B21" s="78" t="s">
        <v>774</v>
      </c>
      <c r="D21" s="14">
        <f>Backlog!D64</f>
        <v>0.84160889999999999</v>
      </c>
      <c r="E21" s="14">
        <f>Backlog!E64</f>
        <v>2.2330794419999993</v>
      </c>
      <c r="F21" s="14">
        <f>Backlog!F64</f>
        <v>4.2167452001400001</v>
      </c>
      <c r="G21" s="14">
        <f>Backlog!G64</f>
        <v>7.5113819952137995</v>
      </c>
      <c r="H21" s="14">
        <f>Backlog!H64</f>
        <v>11.658826175253244</v>
      </c>
      <c r="I21" s="14">
        <f>Backlog!I64</f>
        <v>15.795773219124673</v>
      </c>
      <c r="J21" s="14">
        <f>Backlog!J64</f>
        <v>20.391737699402277</v>
      </c>
      <c r="K21" s="14">
        <f>Backlog!K64</f>
        <v>24.783512814521085</v>
      </c>
      <c r="L21" s="14">
        <f>Backlog!L64</f>
        <v>28.949233315280296</v>
      </c>
      <c r="M21" s="14">
        <f>Backlog!M64</f>
        <v>33.025891231406177</v>
      </c>
    </row>
    <row r="22" spans="2:13" ht="15" customHeight="1" x14ac:dyDescent="0.25">
      <c r="B22" s="41" t="s">
        <v>775</v>
      </c>
      <c r="D22" s="43">
        <f t="shared" ref="D22:M22" si="0">SUM(D6:D20)/100+D23/100+D21</f>
        <v>41.696608899999994</v>
      </c>
      <c r="E22" s="43">
        <f t="shared" si="0"/>
        <v>56.192579441999996</v>
      </c>
      <c r="F22" s="43">
        <f t="shared" si="0"/>
        <v>75.405425200140002</v>
      </c>
      <c r="G22" s="43">
        <f t="shared" si="0"/>
        <v>96.493009195213787</v>
      </c>
      <c r="H22" s="43">
        <f t="shared" si="0"/>
        <v>119.33131846325325</v>
      </c>
      <c r="I22" s="43">
        <f t="shared" si="0"/>
        <v>138.26126519864468</v>
      </c>
      <c r="J22" s="43">
        <f t="shared" si="0"/>
        <v>156.5566493581031</v>
      </c>
      <c r="K22" s="43">
        <f t="shared" si="0"/>
        <v>173.03362093956991</v>
      </c>
      <c r="L22" s="43">
        <f t="shared" si="0"/>
        <v>188.3847457653311</v>
      </c>
      <c r="M22" s="43">
        <f t="shared" si="0"/>
        <v>203.31902417945903</v>
      </c>
    </row>
    <row r="23" spans="2:13" ht="15" customHeight="1" x14ac:dyDescent="0.25">
      <c r="B23" t="s">
        <v>776</v>
      </c>
      <c r="D23">
        <v>380</v>
      </c>
      <c r="E23">
        <v>475</v>
      </c>
      <c r="F23">
        <v>380</v>
      </c>
      <c r="G23">
        <v>285</v>
      </c>
      <c r="H23">
        <v>190</v>
      </c>
      <c r="I23">
        <v>95</v>
      </c>
      <c r="J23">
        <v>0</v>
      </c>
      <c r="K23">
        <v>0</v>
      </c>
      <c r="L23">
        <v>0</v>
      </c>
      <c r="M23">
        <v>0</v>
      </c>
    </row>
  </sheetData>
  <mergeCells count="2">
    <mergeCell ref="B2:N2"/>
    <mergeCell ref="B5:N5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2:M4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2" sqref="C12"/>
    </sheetView>
  </sheetViews>
  <sheetFormatPr defaultColWidth="8.7109375" defaultRowHeight="15" x14ac:dyDescent="0.25"/>
  <cols>
    <col min="1" max="1" width="1.5703125" customWidth="1"/>
    <col min="2" max="2" width="42" customWidth="1"/>
    <col min="3" max="12" width="13" customWidth="1"/>
  </cols>
  <sheetData>
    <row r="2" spans="2:13" ht="24" customHeight="1" x14ac:dyDescent="0.25">
      <c r="B2" s="108" t="s">
        <v>777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</row>
    <row r="4" spans="2:13" ht="15" customHeight="1" x14ac:dyDescent="0.25">
      <c r="B4" s="9" t="s">
        <v>778</v>
      </c>
      <c r="C4" s="10" t="s">
        <v>30</v>
      </c>
      <c r="D4" s="10" t="s">
        <v>25</v>
      </c>
      <c r="E4" s="10" t="s">
        <v>44</v>
      </c>
      <c r="F4" s="10" t="s">
        <v>39</v>
      </c>
      <c r="G4" s="10" t="s">
        <v>58</v>
      </c>
      <c r="H4" s="10" t="s">
        <v>59</v>
      </c>
      <c r="I4" s="10" t="s">
        <v>60</v>
      </c>
      <c r="J4" s="10" t="s">
        <v>61</v>
      </c>
      <c r="K4" s="10" t="s">
        <v>62</v>
      </c>
      <c r="L4" s="10" t="s">
        <v>63</v>
      </c>
    </row>
    <row r="5" spans="2:13" ht="15" customHeight="1" x14ac:dyDescent="0.25">
      <c r="B5" s="2" t="s">
        <v>64</v>
      </c>
      <c r="C5" s="12">
        <f>Revenue!D12</f>
        <v>52.5</v>
      </c>
      <c r="D5" s="12">
        <f>Revenue!E12</f>
        <v>203.4075</v>
      </c>
      <c r="E5" s="12">
        <f>Revenue!F12</f>
        <v>491.02540699999992</v>
      </c>
      <c r="F5" s="12">
        <f>Revenue!G12</f>
        <v>855.20352269</v>
      </c>
      <c r="G5" s="12">
        <f>Revenue!H12</f>
        <v>1447.7017222022996</v>
      </c>
      <c r="H5" s="12">
        <f>Revenue!I12</f>
        <v>2180.2274061255407</v>
      </c>
      <c r="I5" s="12">
        <f>Revenue!J12</f>
        <v>2883.8462180416127</v>
      </c>
      <c r="J5" s="12">
        <f>Revenue!K12</f>
        <v>3659.3439600410056</v>
      </c>
      <c r="K5" s="12">
        <f>Revenue!L12</f>
        <v>4380.6578571923174</v>
      </c>
      <c r="L5" s="12">
        <f>Revenue!M12</f>
        <v>5055.3199605424852</v>
      </c>
    </row>
    <row r="6" spans="2:13" ht="15" customHeight="1" x14ac:dyDescent="0.25">
      <c r="B6" s="75" t="s">
        <v>779</v>
      </c>
      <c r="C6" s="14">
        <f>Revenue!D29</f>
        <v>23.458383233532935</v>
      </c>
      <c r="D6" s="14">
        <f>Revenue!E29</f>
        <v>80.768632890937894</v>
      </c>
      <c r="E6" s="14">
        <f>Revenue!F29</f>
        <v>171.39293276767413</v>
      </c>
      <c r="F6" s="14">
        <f>Revenue!G29</f>
        <v>308.62653657202139</v>
      </c>
      <c r="G6" s="14">
        <f>Revenue!H29</f>
        <v>509.87891178272537</v>
      </c>
      <c r="H6" s="14">
        <f>Revenue!I29</f>
        <v>744.91084791221783</v>
      </c>
      <c r="I6" s="14">
        <f>Revenue!J29</f>
        <v>963.66890779447021</v>
      </c>
      <c r="J6" s="14">
        <f>Revenue!K29</f>
        <v>1209.6189999147878</v>
      </c>
      <c r="K6" s="14">
        <f>Revenue!L29</f>
        <v>1431.8437460858304</v>
      </c>
      <c r="L6" s="14">
        <f>Revenue!M29</f>
        <v>1631.4297275796216</v>
      </c>
    </row>
    <row r="7" spans="2:13" ht="15" customHeight="1" x14ac:dyDescent="0.25">
      <c r="B7" s="75" t="s">
        <v>780</v>
      </c>
      <c r="C7" s="14">
        <f>Headcount!D68</f>
        <v>2.0300000000000002</v>
      </c>
      <c r="D7" s="14">
        <f>Headcount!E68</f>
        <v>4.9088000000000003</v>
      </c>
      <c r="E7" s="14">
        <f>Headcount!F68</f>
        <v>8.1552640000000007</v>
      </c>
      <c r="F7" s="14">
        <f>Headcount!G68</f>
        <v>13.318389760000001</v>
      </c>
      <c r="G7" s="14">
        <f>Headcount!H68</f>
        <v>19.056995942400004</v>
      </c>
      <c r="H7" s="14">
        <f>Headcount!I68</f>
        <v>26.547366330368011</v>
      </c>
      <c r="I7" s="14">
        <f>Headcount!J68</f>
        <v>34.745660247900176</v>
      </c>
      <c r="J7" s="14">
        <f>Headcount!K68</f>
        <v>39.030536572135027</v>
      </c>
      <c r="K7" s="14">
        <f>Headcount!L68</f>
        <v>43.24678199280666</v>
      </c>
      <c r="L7" s="14">
        <f>Headcount!M68</f>
        <v>46.542296266182568</v>
      </c>
    </row>
    <row r="8" spans="2:13" ht="15" customHeight="1" x14ac:dyDescent="0.25">
      <c r="B8" s="2" t="s">
        <v>781</v>
      </c>
      <c r="C8" s="43">
        <f t="shared" ref="C8:L8" si="0">C6+C7</f>
        <v>25.488383233532936</v>
      </c>
      <c r="D8" s="43">
        <f t="shared" si="0"/>
        <v>85.677432890937894</v>
      </c>
      <c r="E8" s="43">
        <f t="shared" si="0"/>
        <v>179.54819676767411</v>
      </c>
      <c r="F8" s="43">
        <f t="shared" si="0"/>
        <v>321.9449263320214</v>
      </c>
      <c r="G8" s="43">
        <f t="shared" si="0"/>
        <v>528.93590772512539</v>
      </c>
      <c r="H8" s="43">
        <f t="shared" si="0"/>
        <v>771.45821424258588</v>
      </c>
      <c r="I8" s="43">
        <f t="shared" si="0"/>
        <v>998.41456804237043</v>
      </c>
      <c r="J8" s="43">
        <f t="shared" si="0"/>
        <v>1248.6495364869229</v>
      </c>
      <c r="K8" s="43">
        <f t="shared" si="0"/>
        <v>1475.0905280786371</v>
      </c>
      <c r="L8" s="43">
        <f t="shared" si="0"/>
        <v>1677.9720238458042</v>
      </c>
    </row>
    <row r="9" spans="2:13" ht="15" customHeight="1" x14ac:dyDescent="0.25">
      <c r="B9" s="41" t="s">
        <v>66</v>
      </c>
      <c r="C9" s="43">
        <f t="shared" ref="C9:L9" si="1">C5-C8</f>
        <v>27.011616766467064</v>
      </c>
      <c r="D9" s="43">
        <f t="shared" si="1"/>
        <v>117.73006710906211</v>
      </c>
      <c r="E9" s="43">
        <f t="shared" si="1"/>
        <v>311.47721023232577</v>
      </c>
      <c r="F9" s="43">
        <f t="shared" si="1"/>
        <v>533.2585963579786</v>
      </c>
      <c r="G9" s="43">
        <f t="shared" si="1"/>
        <v>918.76581447717422</v>
      </c>
      <c r="H9" s="43">
        <f t="shared" si="1"/>
        <v>1408.7691918829548</v>
      </c>
      <c r="I9" s="43">
        <f t="shared" si="1"/>
        <v>1885.4316499992424</v>
      </c>
      <c r="J9" s="43">
        <f t="shared" si="1"/>
        <v>2410.6944235540827</v>
      </c>
      <c r="K9" s="43">
        <f t="shared" si="1"/>
        <v>2905.56732911368</v>
      </c>
      <c r="L9" s="43">
        <f t="shared" si="1"/>
        <v>3377.3479366966812</v>
      </c>
    </row>
    <row r="10" spans="2:13" ht="15" customHeight="1" x14ac:dyDescent="0.25">
      <c r="B10" s="78" t="s">
        <v>782</v>
      </c>
      <c r="C10" s="13">
        <f t="shared" ref="C10:L10" si="2">IFERROR(C9/C5,0)</f>
        <v>0.51450698602794409</v>
      </c>
      <c r="D10" s="13">
        <f t="shared" si="2"/>
        <v>0.57878921430656249</v>
      </c>
      <c r="E10" s="13">
        <f t="shared" si="2"/>
        <v>0.63434031272505176</v>
      </c>
      <c r="F10" s="13">
        <f t="shared" si="2"/>
        <v>0.62354583699636823</v>
      </c>
      <c r="G10" s="13">
        <f t="shared" si="2"/>
        <v>0.6346375088091436</v>
      </c>
      <c r="H10" s="13">
        <f t="shared" si="2"/>
        <v>0.64615699624951684</v>
      </c>
      <c r="I10" s="13">
        <f t="shared" si="2"/>
        <v>0.65379063495265621</v>
      </c>
      <c r="J10" s="13">
        <f t="shared" si="2"/>
        <v>0.65877776177319747</v>
      </c>
      <c r="K10" s="13">
        <f t="shared" si="2"/>
        <v>0.66327191573366495</v>
      </c>
      <c r="L10" s="13">
        <f t="shared" si="2"/>
        <v>0.66807797786438405</v>
      </c>
    </row>
    <row r="12" spans="2:13" ht="15" customHeight="1" x14ac:dyDescent="0.25">
      <c r="B12" s="2" t="s">
        <v>68</v>
      </c>
      <c r="C12" s="14">
        <f>'R&amp;D_NRE'!D12</f>
        <v>301.9362375</v>
      </c>
      <c r="D12" s="14">
        <f>'R&amp;D_NRE'!E12</f>
        <v>347.80872750000003</v>
      </c>
      <c r="E12" s="14">
        <f>'R&amp;D_NRE'!F12</f>
        <v>185.2173741</v>
      </c>
      <c r="F12" s="14">
        <f>'R&amp;D_NRE'!G12</f>
        <v>118.02113941999998</v>
      </c>
      <c r="G12" s="14">
        <f>'R&amp;D_NRE'!H12</f>
        <v>80.586227815200004</v>
      </c>
      <c r="H12" s="14">
        <f>'R&amp;D_NRE'!I12</f>
        <v>66.91187624668801</v>
      </c>
      <c r="I12" s="14">
        <f>'R&amp;D_NRE'!J12</f>
        <v>63.404197713466267</v>
      </c>
      <c r="J12" s="14">
        <f>'R&amp;D_NRE'!K12</f>
        <v>65.917667963094502</v>
      </c>
      <c r="K12" s="14">
        <f>'R&amp;D_NRE'!L12</f>
        <v>67.497848644812834</v>
      </c>
      <c r="L12" s="14">
        <f>'R&amp;D_NRE'!M12</f>
        <v>68.640794620691878</v>
      </c>
    </row>
    <row r="13" spans="2:13" ht="15" customHeight="1" x14ac:dyDescent="0.25">
      <c r="B13" s="2" t="s">
        <v>783</v>
      </c>
      <c r="C13" s="14">
        <f>MAX(Headcount!D69,C5*Assumptions!$C$15)</f>
        <v>4.2</v>
      </c>
      <c r="D13" s="14">
        <f>MAX(Headcount!E69,D5*Assumptions!$C$15)</f>
        <v>16.272600000000001</v>
      </c>
      <c r="E13" s="14">
        <f>MAX(Headcount!F69,E5*Assumptions!$C$15)</f>
        <v>39.282032559999998</v>
      </c>
      <c r="F13" s="14">
        <f>MAX(Headcount!G69,F5*Assumptions!$C$15)</f>
        <v>68.416281815199994</v>
      </c>
      <c r="G13" s="14">
        <f>MAX(Headcount!H69,G5*Assumptions!$C$15)</f>
        <v>115.81613777618396</v>
      </c>
      <c r="H13" s="14">
        <f>MAX(Headcount!I69,H5*Assumptions!$C$15)</f>
        <v>174.41819249004325</v>
      </c>
      <c r="I13" s="14">
        <f>MAX(Headcount!J69,I5*Assumptions!$C$15)</f>
        <v>230.70769744332901</v>
      </c>
      <c r="J13" s="14">
        <f>MAX(Headcount!K69,J5*Assumptions!$C$15)</f>
        <v>292.74751680328046</v>
      </c>
      <c r="K13" s="14">
        <f>MAX(Headcount!L69,K5*Assumptions!$C$15)</f>
        <v>350.4526285753854</v>
      </c>
      <c r="L13" s="14">
        <f>MAX(Headcount!M69,L5*Assumptions!$C$15)</f>
        <v>404.42559684339881</v>
      </c>
    </row>
    <row r="14" spans="2:13" ht="15" customHeight="1" x14ac:dyDescent="0.25">
      <c r="B14" s="2" t="s">
        <v>784</v>
      </c>
      <c r="C14" s="14">
        <f>MAX(Headcount!D70,C5*Assumptions!$C$16)</f>
        <v>3.6750000000000003</v>
      </c>
      <c r="D14" s="14">
        <f>MAX(Headcount!E70,D5*Assumptions!$C$16)</f>
        <v>14.238525000000001</v>
      </c>
      <c r="E14" s="14">
        <f>MAX(Headcount!F70,E5*Assumptions!$C$16)</f>
        <v>34.371778489999997</v>
      </c>
      <c r="F14" s="14">
        <f>MAX(Headcount!G70,F5*Assumptions!$C$16)</f>
        <v>59.864246588300006</v>
      </c>
      <c r="G14" s="14">
        <f>MAX(Headcount!H70,G5*Assumptions!$C$16)</f>
        <v>101.33912055416098</v>
      </c>
      <c r="H14" s="14">
        <f>MAX(Headcount!I70,H5*Assumptions!$C$16)</f>
        <v>152.61591842878786</v>
      </c>
      <c r="I14" s="14">
        <f>MAX(Headcount!J70,I5*Assumptions!$C$16)</f>
        <v>201.86923526291289</v>
      </c>
      <c r="J14" s="14">
        <f>MAX(Headcount!K70,J5*Assumptions!$C$16)</f>
        <v>256.15407720287044</v>
      </c>
      <c r="K14" s="14">
        <f>MAX(Headcount!L70,K5*Assumptions!$C$16)</f>
        <v>306.64605000346222</v>
      </c>
      <c r="L14" s="14">
        <f>MAX(Headcount!M70,L5*Assumptions!$C$16)</f>
        <v>353.87239723797398</v>
      </c>
    </row>
    <row r="15" spans="2:13" ht="15" customHeight="1" x14ac:dyDescent="0.25">
      <c r="B15" s="2" t="s">
        <v>785</v>
      </c>
      <c r="C15" s="14">
        <f>Opex!D22</f>
        <v>41.696608899999994</v>
      </c>
      <c r="D15" s="14">
        <f>Opex!E22</f>
        <v>56.192579441999996</v>
      </c>
      <c r="E15" s="14">
        <f>Opex!F22</f>
        <v>75.405425200140002</v>
      </c>
      <c r="F15" s="14">
        <f>Opex!G22</f>
        <v>96.493009195213787</v>
      </c>
      <c r="G15" s="14">
        <f>Opex!H22</f>
        <v>119.33131846325325</v>
      </c>
      <c r="H15" s="14">
        <f>Opex!I22</f>
        <v>138.26126519864468</v>
      </c>
      <c r="I15" s="14">
        <f>Opex!J22</f>
        <v>156.5566493581031</v>
      </c>
      <c r="J15" s="14">
        <f>Opex!K22</f>
        <v>173.03362093956991</v>
      </c>
      <c r="K15" s="14">
        <f>Opex!L22</f>
        <v>188.3847457653311</v>
      </c>
      <c r="L15" s="14">
        <f>Opex!M22</f>
        <v>203.31902417945903</v>
      </c>
    </row>
    <row r="16" spans="2:13" ht="15" customHeight="1" x14ac:dyDescent="0.25">
      <c r="B16" s="41" t="s">
        <v>70</v>
      </c>
      <c r="C16" s="43">
        <f t="shared" ref="C16:L16" si="3">C9-C12-C13-C14-C15</f>
        <v>-324.49622963353295</v>
      </c>
      <c r="D16" s="43">
        <f t="shared" si="3"/>
        <v>-316.78236483293796</v>
      </c>
      <c r="E16" s="43">
        <f t="shared" si="3"/>
        <v>-22.79940011781423</v>
      </c>
      <c r="F16" s="43">
        <f t="shared" si="3"/>
        <v>190.46391933926481</v>
      </c>
      <c r="G16" s="43">
        <f t="shared" si="3"/>
        <v>501.69300986837601</v>
      </c>
      <c r="H16" s="43">
        <f t="shared" si="3"/>
        <v>876.56193951879095</v>
      </c>
      <c r="I16" s="43">
        <f t="shared" si="3"/>
        <v>1232.8938702214309</v>
      </c>
      <c r="J16" s="43">
        <f t="shared" si="3"/>
        <v>1622.8415406452673</v>
      </c>
      <c r="K16" s="43">
        <f t="shared" si="3"/>
        <v>1992.5860561246886</v>
      </c>
      <c r="L16" s="43">
        <f t="shared" si="3"/>
        <v>2347.0901238151573</v>
      </c>
    </row>
    <row r="17" spans="2:12" ht="15" customHeight="1" x14ac:dyDescent="0.25">
      <c r="B17" s="78" t="s">
        <v>786</v>
      </c>
      <c r="C17" s="13">
        <f t="shared" ref="C17:L17" si="4">IFERROR(C16/C5,0)</f>
        <v>-6.1808805644482465</v>
      </c>
      <c r="D17" s="13">
        <f t="shared" si="4"/>
        <v>-1.5573779965484948</v>
      </c>
      <c r="E17" s="13">
        <f t="shared" si="4"/>
        <v>-4.6432220803218509E-2</v>
      </c>
      <c r="F17" s="13">
        <f t="shared" si="4"/>
        <v>0.22271180401615986</v>
      </c>
      <c r="G17" s="13">
        <f t="shared" si="4"/>
        <v>0.34654445883035995</v>
      </c>
      <c r="H17" s="13">
        <f t="shared" si="4"/>
        <v>0.40205069299469087</v>
      </c>
      <c r="I17" s="13">
        <f t="shared" si="4"/>
        <v>0.42751720341685734</v>
      </c>
      <c r="J17" s="13">
        <f t="shared" si="4"/>
        <v>0.4434788198010996</v>
      </c>
      <c r="K17" s="13">
        <f t="shared" si="4"/>
        <v>0.45486000529650839</v>
      </c>
      <c r="L17" s="13">
        <f t="shared" si="4"/>
        <v>0.46428122099778857</v>
      </c>
    </row>
    <row r="19" spans="2:12" ht="27" customHeight="1" x14ac:dyDescent="0.25">
      <c r="B19" s="75" t="s">
        <v>787</v>
      </c>
      <c r="C19" s="14">
        <f ca="1">Capex!D39+'R&amp;D_NRE'!D18</f>
        <v>9.7720238095238106</v>
      </c>
      <c r="D19" s="14">
        <f ca="1">Capex!E39+'R&amp;D_NRE'!E18</f>
        <v>33.331071428571434</v>
      </c>
      <c r="E19" s="14">
        <f ca="1">Capex!F39+'R&amp;D_NRE'!F18</f>
        <v>55.818214285714291</v>
      </c>
      <c r="F19" s="14">
        <f ca="1">Capex!G39+'R&amp;D_NRE'!G18</f>
        <v>74.975833333333327</v>
      </c>
      <c r="G19" s="14">
        <f ca="1">Capex!H39+'R&amp;D_NRE'!H18</f>
        <v>87.005238095238099</v>
      </c>
      <c r="H19" s="14">
        <f ca="1">Capex!I39+'R&amp;D_NRE'!I18</f>
        <v>92.688809523809525</v>
      </c>
      <c r="I19" s="14">
        <f ca="1">Capex!J39+'R&amp;D_NRE'!J18</f>
        <v>88.821309523809532</v>
      </c>
      <c r="J19" s="14">
        <f ca="1">Capex!K39+'R&amp;D_NRE'!K18</f>
        <v>73.570761904761909</v>
      </c>
      <c r="K19" s="14">
        <f ca="1">Capex!L39+'R&amp;D_NRE'!L18</f>
        <v>63.384738095238106</v>
      </c>
      <c r="L19" s="14">
        <f ca="1">Capex!M39+'R&amp;D_NRE'!M18</f>
        <v>54.563238095238091</v>
      </c>
    </row>
    <row r="20" spans="2:12" ht="15" customHeight="1" x14ac:dyDescent="0.25">
      <c r="B20" s="41" t="s">
        <v>788</v>
      </c>
      <c r="C20" s="43">
        <f t="shared" ref="C20:L20" ca="1" si="5">C16-C19</f>
        <v>-334.26825344305678</v>
      </c>
      <c r="D20" s="43">
        <f t="shared" ca="1" si="5"/>
        <v>-350.11343626150938</v>
      </c>
      <c r="E20" s="43">
        <f t="shared" ca="1" si="5"/>
        <v>-78.61761440352852</v>
      </c>
      <c r="F20" s="43">
        <f t="shared" ca="1" si="5"/>
        <v>115.48808600593148</v>
      </c>
      <c r="G20" s="43">
        <f t="shared" ca="1" si="5"/>
        <v>414.68777177313791</v>
      </c>
      <c r="H20" s="43">
        <f t="shared" ca="1" si="5"/>
        <v>783.87312999498147</v>
      </c>
      <c r="I20" s="43">
        <f t="shared" ca="1" si="5"/>
        <v>1144.0725606976214</v>
      </c>
      <c r="J20" s="43">
        <f t="shared" ca="1" si="5"/>
        <v>1549.2707787405054</v>
      </c>
      <c r="K20" s="43">
        <f t="shared" ca="1" si="5"/>
        <v>1929.2013180294505</v>
      </c>
      <c r="L20" s="43">
        <f t="shared" ca="1" si="5"/>
        <v>2292.5268857199194</v>
      </c>
    </row>
    <row r="21" spans="2:12" ht="15" customHeight="1" x14ac:dyDescent="0.25">
      <c r="B21" s="75" t="s">
        <v>789</v>
      </c>
      <c r="C21" s="14">
        <f>Funding!D17</f>
        <v>0.8</v>
      </c>
      <c r="D21" s="14">
        <f>Funding!E17</f>
        <v>5.6000000000000005</v>
      </c>
      <c r="E21" s="14">
        <f>Funding!F17</f>
        <v>12.8</v>
      </c>
      <c r="F21" s="14">
        <f>Funding!G17</f>
        <v>16</v>
      </c>
      <c r="G21" s="14">
        <f>Funding!H17</f>
        <v>14.56</v>
      </c>
      <c r="H21" s="14">
        <f>Funding!I17</f>
        <v>11.68</v>
      </c>
      <c r="I21" s="14">
        <f>Funding!J17</f>
        <v>8.0400000000000009</v>
      </c>
      <c r="J21" s="14">
        <f>Funding!K17</f>
        <v>3.24</v>
      </c>
      <c r="K21" s="14">
        <f>Funding!L17</f>
        <v>0.32</v>
      </c>
      <c r="L21" s="14">
        <f>Funding!M17</f>
        <v>0</v>
      </c>
    </row>
    <row r="22" spans="2:12" ht="15" customHeight="1" x14ac:dyDescent="0.25">
      <c r="B22" s="2" t="s">
        <v>790</v>
      </c>
      <c r="C22" s="43">
        <f t="shared" ref="C22:L22" ca="1" si="6">C20-C21</f>
        <v>-335.06825344305679</v>
      </c>
      <c r="D22" s="43">
        <f t="shared" ca="1" si="6"/>
        <v>-355.7134362615094</v>
      </c>
      <c r="E22" s="43">
        <f t="shared" ca="1" si="6"/>
        <v>-91.417614403528518</v>
      </c>
      <c r="F22" s="43">
        <f t="shared" ca="1" si="6"/>
        <v>99.488086005931478</v>
      </c>
      <c r="G22" s="43">
        <f t="shared" ca="1" si="6"/>
        <v>400.12777177313791</v>
      </c>
      <c r="H22" s="43">
        <f t="shared" ca="1" si="6"/>
        <v>772.19312999498152</v>
      </c>
      <c r="I22" s="43">
        <f t="shared" ca="1" si="6"/>
        <v>1136.0325606976214</v>
      </c>
      <c r="J22" s="43">
        <f t="shared" ca="1" si="6"/>
        <v>1546.0307787405054</v>
      </c>
      <c r="K22" s="43">
        <f t="shared" ca="1" si="6"/>
        <v>1928.8813180294505</v>
      </c>
      <c r="L22" s="43">
        <f t="shared" ca="1" si="6"/>
        <v>2292.5268857199194</v>
      </c>
    </row>
    <row r="23" spans="2:12" ht="15" customHeight="1" x14ac:dyDescent="0.25">
      <c r="B23" s="75" t="s">
        <v>791</v>
      </c>
      <c r="C23" s="14">
        <f t="shared" ref="C23:L23" ca="1" si="7">C33</f>
        <v>0</v>
      </c>
      <c r="D23" s="14">
        <f t="shared" ca="1" si="7"/>
        <v>0</v>
      </c>
      <c r="E23" s="14">
        <f t="shared" ca="1" si="7"/>
        <v>0</v>
      </c>
      <c r="F23" s="14">
        <f t="shared" ca="1" si="7"/>
        <v>0</v>
      </c>
      <c r="G23" s="14">
        <f t="shared" ca="1" si="7"/>
        <v>0</v>
      </c>
      <c r="H23" s="14">
        <f t="shared" ca="1" si="7"/>
        <v>100.96075424982239</v>
      </c>
      <c r="I23" s="14">
        <f t="shared" ca="1" si="7"/>
        <v>291.94126517440537</v>
      </c>
      <c r="J23" s="14">
        <f t="shared" ca="1" si="7"/>
        <v>391.50686135179302</v>
      </c>
      <c r="K23" s="14">
        <f t="shared" ca="1" si="7"/>
        <v>485.24974617402933</v>
      </c>
      <c r="L23" s="14">
        <f t="shared" ca="1" si="7"/>
        <v>575.17867976331308</v>
      </c>
    </row>
    <row r="24" spans="2:12" ht="15" customHeight="1" x14ac:dyDescent="0.25">
      <c r="B24" s="65" t="s">
        <v>792</v>
      </c>
      <c r="C24" s="66">
        <f t="shared" ref="C24:L24" ca="1" si="8">C22-C23</f>
        <v>-335.06825344305679</v>
      </c>
      <c r="D24" s="66">
        <f t="shared" ca="1" si="8"/>
        <v>-355.7134362615094</v>
      </c>
      <c r="E24" s="66">
        <f t="shared" ca="1" si="8"/>
        <v>-91.417614403528518</v>
      </c>
      <c r="F24" s="66">
        <f t="shared" ca="1" si="8"/>
        <v>99.488086005931478</v>
      </c>
      <c r="G24" s="66">
        <f t="shared" ca="1" si="8"/>
        <v>400.12777177313791</v>
      </c>
      <c r="H24" s="66">
        <f t="shared" ca="1" si="8"/>
        <v>671.23237574515917</v>
      </c>
      <c r="I24" s="66">
        <f t="shared" ca="1" si="8"/>
        <v>844.0912955232161</v>
      </c>
      <c r="J24" s="66">
        <f t="shared" ca="1" si="8"/>
        <v>1154.5239173887123</v>
      </c>
      <c r="K24" s="66">
        <f t="shared" ca="1" si="8"/>
        <v>1443.6315718554213</v>
      </c>
      <c r="L24" s="66">
        <f t="shared" ca="1" si="8"/>
        <v>1717.3482059566063</v>
      </c>
    </row>
    <row r="26" spans="2:12" ht="15" customHeight="1" x14ac:dyDescent="0.25">
      <c r="B26" t="s">
        <v>793</v>
      </c>
    </row>
    <row r="27" spans="2:12" ht="15" customHeight="1" x14ac:dyDescent="0.25">
      <c r="B27" t="s">
        <v>794</v>
      </c>
      <c r="C27" s="26">
        <f t="shared" ref="C27:L27" ca="1" si="9">C22</f>
        <v>-335.06825344305679</v>
      </c>
      <c r="D27" s="26">
        <f t="shared" ca="1" si="9"/>
        <v>-355.7134362615094</v>
      </c>
      <c r="E27" s="26">
        <f t="shared" ca="1" si="9"/>
        <v>-91.417614403528518</v>
      </c>
      <c r="F27" s="26">
        <f t="shared" ca="1" si="9"/>
        <v>99.488086005931478</v>
      </c>
      <c r="G27" s="26">
        <f t="shared" ca="1" si="9"/>
        <v>400.12777177313791</v>
      </c>
      <c r="H27" s="26">
        <f t="shared" ca="1" si="9"/>
        <v>772.19312999498152</v>
      </c>
      <c r="I27" s="26">
        <f t="shared" ca="1" si="9"/>
        <v>1136.0325606976214</v>
      </c>
      <c r="J27" s="26">
        <f t="shared" ca="1" si="9"/>
        <v>1546.0307787405054</v>
      </c>
      <c r="K27" s="26">
        <f t="shared" ca="1" si="9"/>
        <v>1928.8813180294505</v>
      </c>
      <c r="L27" s="26">
        <f t="shared" ca="1" si="9"/>
        <v>2292.5268857199194</v>
      </c>
    </row>
    <row r="28" spans="2:12" ht="15" customHeight="1" x14ac:dyDescent="0.25">
      <c r="B28" t="s">
        <v>795</v>
      </c>
      <c r="C28">
        <v>0</v>
      </c>
      <c r="D28">
        <f t="shared" ref="D28:L28" ca="1" si="10">C31</f>
        <v>356.94325344305679</v>
      </c>
      <c r="E28">
        <f t="shared" ca="1" si="10"/>
        <v>782.4900230378995</v>
      </c>
      <c r="F28">
        <f t="shared" ca="1" si="10"/>
        <v>904.03263744142805</v>
      </c>
      <c r="G28">
        <f t="shared" ca="1" si="10"/>
        <v>811.57621810216324</v>
      </c>
      <c r="H28">
        <f t="shared" ca="1" si="10"/>
        <v>396.79844632902535</v>
      </c>
      <c r="I28">
        <f t="shared" ca="1" si="10"/>
        <v>0</v>
      </c>
      <c r="J28">
        <f t="shared" ca="1" si="10"/>
        <v>0</v>
      </c>
      <c r="K28">
        <f t="shared" ca="1" si="10"/>
        <v>0</v>
      </c>
      <c r="L28">
        <f t="shared" ca="1" si="10"/>
        <v>0</v>
      </c>
    </row>
    <row r="29" spans="2:12" ht="15" customHeight="1" x14ac:dyDescent="0.25">
      <c r="B29" t="s">
        <v>796</v>
      </c>
      <c r="C29">
        <f ca="1">MAX(0,-(C27+'R&amp;D_NRE'!D18-'R&amp;D_NRE'!D16))</f>
        <v>356.94325344305679</v>
      </c>
      <c r="D29">
        <f ca="1">MAX(0,-(D27+'R&amp;D_NRE'!E18-'R&amp;D_NRE'!E16))</f>
        <v>425.54676959484271</v>
      </c>
      <c r="E29">
        <f ca="1">MAX(0,-(E27+'R&amp;D_NRE'!F18-'R&amp;D_NRE'!F16))</f>
        <v>121.54261440352852</v>
      </c>
      <c r="F29">
        <f ca="1">MAX(0,-(F27+'R&amp;D_NRE'!G18-'R&amp;D_NRE'!G16))</f>
        <v>0</v>
      </c>
      <c r="G29">
        <f ca="1">MAX(0,-(G27+'R&amp;D_NRE'!H18-'R&amp;D_NRE'!H16))</f>
        <v>0</v>
      </c>
      <c r="H29">
        <f ca="1">MAX(0,-(H27+'R&amp;D_NRE'!I18-'R&amp;D_NRE'!I16))</f>
        <v>0</v>
      </c>
      <c r="I29">
        <f ca="1">MAX(0,-(I27+'R&amp;D_NRE'!J18-'R&amp;D_NRE'!J16))</f>
        <v>0</v>
      </c>
      <c r="J29">
        <f ca="1">MAX(0,-(J27+'R&amp;D_NRE'!K18-'R&amp;D_NRE'!K16))</f>
        <v>0</v>
      </c>
      <c r="K29">
        <f ca="1">MAX(0,-(K27+'R&amp;D_NRE'!L18-'R&amp;D_NRE'!L16))</f>
        <v>0</v>
      </c>
      <c r="L29">
        <f ca="1">MAX(0,-(L27+'R&amp;D_NRE'!M18-'R&amp;D_NRE'!M16))</f>
        <v>0</v>
      </c>
    </row>
    <row r="30" spans="2:12" ht="15" customHeight="1" x14ac:dyDescent="0.25">
      <c r="B30" t="s">
        <v>797</v>
      </c>
      <c r="C30">
        <f ca="1">MIN(C28+C29,MAX(0,(C27+'R&amp;D_NRE'!D18-'R&amp;D_NRE'!D16)))</f>
        <v>0</v>
      </c>
      <c r="D30">
        <f ca="1">MIN(D28+D29,MAX(0,(D27+'R&amp;D_NRE'!E18-'R&amp;D_NRE'!E16)))</f>
        <v>0</v>
      </c>
      <c r="E30">
        <f ca="1">MIN(E28+E29,MAX(0,(E27+'R&amp;D_NRE'!F18-'R&amp;D_NRE'!F16)))</f>
        <v>0</v>
      </c>
      <c r="F30">
        <f ca="1">MIN(F28+F29,MAX(0,(F27+'R&amp;D_NRE'!G18-'R&amp;D_NRE'!G16)))</f>
        <v>92.456419339264812</v>
      </c>
      <c r="G30">
        <f ca="1">MIN(G28+G29,MAX(0,(G27+'R&amp;D_NRE'!H18-'R&amp;D_NRE'!H16)))</f>
        <v>414.77777177313789</v>
      </c>
      <c r="H30">
        <f ca="1">MIN(H28+H29,MAX(0,(H27+'R&amp;D_NRE'!I18-'R&amp;D_NRE'!I16)))</f>
        <v>396.79844632902535</v>
      </c>
      <c r="I30">
        <f ca="1">MIN(I28+I29,MAX(0,(I27+'R&amp;D_NRE'!J18-'R&amp;D_NRE'!J16)))</f>
        <v>0</v>
      </c>
      <c r="J30">
        <f ca="1">MIN(J28+J29,MAX(0,(J27+'R&amp;D_NRE'!K18-'R&amp;D_NRE'!K16)))</f>
        <v>0</v>
      </c>
      <c r="K30">
        <f ca="1">MIN(K28+K29,MAX(0,(K27+'R&amp;D_NRE'!L18-'R&amp;D_NRE'!L16)))</f>
        <v>0</v>
      </c>
      <c r="L30">
        <f ca="1">MIN(L28+L29,MAX(0,(L27+'R&amp;D_NRE'!M18-'R&amp;D_NRE'!M16)))</f>
        <v>0</v>
      </c>
    </row>
    <row r="31" spans="2:12" ht="15" customHeight="1" x14ac:dyDescent="0.25">
      <c r="B31" t="s">
        <v>798</v>
      </c>
      <c r="C31">
        <f t="shared" ref="C31:L31" ca="1" si="11">C28+C29-C30</f>
        <v>356.94325344305679</v>
      </c>
      <c r="D31">
        <f t="shared" ca="1" si="11"/>
        <v>782.4900230378995</v>
      </c>
      <c r="E31">
        <f t="shared" ca="1" si="11"/>
        <v>904.03263744142805</v>
      </c>
      <c r="F31">
        <f t="shared" ca="1" si="11"/>
        <v>811.57621810216324</v>
      </c>
      <c r="G31">
        <f t="shared" ca="1" si="11"/>
        <v>396.79844632902535</v>
      </c>
      <c r="H31">
        <f t="shared" ca="1" si="11"/>
        <v>0</v>
      </c>
      <c r="I31">
        <f t="shared" ca="1" si="11"/>
        <v>0</v>
      </c>
      <c r="J31">
        <f t="shared" ca="1" si="11"/>
        <v>0</v>
      </c>
      <c r="K31">
        <f t="shared" ca="1" si="11"/>
        <v>0</v>
      </c>
      <c r="L31">
        <f t="shared" ca="1" si="11"/>
        <v>0</v>
      </c>
    </row>
    <row r="32" spans="2:12" ht="15" customHeight="1" x14ac:dyDescent="0.25">
      <c r="B32" t="s">
        <v>799</v>
      </c>
      <c r="C32">
        <f ca="1">MAX(0,(C27+'R&amp;D_NRE'!D18-'R&amp;D_NRE'!D16)-C30)</f>
        <v>0</v>
      </c>
      <c r="D32">
        <f ca="1">MAX(0,(D27+'R&amp;D_NRE'!E18-'R&amp;D_NRE'!E16)-D30)</f>
        <v>0</v>
      </c>
      <c r="E32">
        <f ca="1">MAX(0,(E27+'R&amp;D_NRE'!F18-'R&amp;D_NRE'!F16)-E30)</f>
        <v>0</v>
      </c>
      <c r="F32">
        <f ca="1">MAX(0,(F27+'R&amp;D_NRE'!G18-'R&amp;D_NRE'!G16)-F30)</f>
        <v>0</v>
      </c>
      <c r="G32">
        <f ca="1">MAX(0,(G27+'R&amp;D_NRE'!H18-'R&amp;D_NRE'!H16)-G30)</f>
        <v>0</v>
      </c>
      <c r="H32">
        <f ca="1">MAX(0,(H27+'R&amp;D_NRE'!I18-'R&amp;D_NRE'!I16)-H30)</f>
        <v>403.84301699928955</v>
      </c>
      <c r="I32">
        <f ca="1">MAX(0,(I27+'R&amp;D_NRE'!J18-'R&amp;D_NRE'!J16)-I30)</f>
        <v>1167.7650606976215</v>
      </c>
      <c r="J32">
        <f ca="1">MAX(0,(J27+'R&amp;D_NRE'!K18-'R&amp;D_NRE'!K16)-J30)</f>
        <v>1566.0274454071721</v>
      </c>
      <c r="K32">
        <f ca="1">MAX(0,(K27+'R&amp;D_NRE'!L18-'R&amp;D_NRE'!L16)-K30)</f>
        <v>1940.9989846961173</v>
      </c>
      <c r="L32">
        <f ca="1">MAX(0,(L27+'R&amp;D_NRE'!M18-'R&amp;D_NRE'!M16)-L30)</f>
        <v>2300.7147190532523</v>
      </c>
    </row>
    <row r="33" spans="2:12" ht="15" customHeight="1" x14ac:dyDescent="0.25">
      <c r="B33" t="s">
        <v>800</v>
      </c>
      <c r="C33">
        <f ca="1">C32*Assumptions!$C$6</f>
        <v>0</v>
      </c>
      <c r="D33">
        <f ca="1">D32*Assumptions!$C$6</f>
        <v>0</v>
      </c>
      <c r="E33">
        <f ca="1">E32*Assumptions!$C$6</f>
        <v>0</v>
      </c>
      <c r="F33">
        <f ca="1">F32*Assumptions!$C$6</f>
        <v>0</v>
      </c>
      <c r="G33">
        <f ca="1">G32*Assumptions!$C$6</f>
        <v>0</v>
      </c>
      <c r="H33">
        <f ca="1">H32*Assumptions!$C$6</f>
        <v>100.96075424982239</v>
      </c>
      <c r="I33">
        <f ca="1">I32*Assumptions!$C$6</f>
        <v>291.94126517440537</v>
      </c>
      <c r="J33">
        <f ca="1">J32*Assumptions!$C$6</f>
        <v>391.50686135179302</v>
      </c>
      <c r="K33">
        <f ca="1">K32*Assumptions!$C$6</f>
        <v>485.24974617402933</v>
      </c>
      <c r="L33">
        <f ca="1">L32*Assumptions!$C$6</f>
        <v>575.17867976331308</v>
      </c>
    </row>
    <row r="34" spans="2:12" ht="15" customHeight="1" x14ac:dyDescent="0.25">
      <c r="B34" t="s">
        <v>801</v>
      </c>
      <c r="C34">
        <f ca="1">MAX(0,C27)*Assumptions!$C$37</f>
        <v>0</v>
      </c>
      <c r="D34">
        <f ca="1">MAX(0,D27)*Assumptions!$C$37</f>
        <v>0</v>
      </c>
      <c r="E34">
        <f ca="1">MAX(0,E27)*Assumptions!$C$37</f>
        <v>0</v>
      </c>
      <c r="F34">
        <f ca="1">MAX(0,F27)*Assumptions!$C$37</f>
        <v>14.923212900889721</v>
      </c>
      <c r="G34">
        <f ca="1">MAX(0,G27)*Assumptions!$C$37</f>
        <v>60.019165765970683</v>
      </c>
      <c r="H34">
        <f ca="1">MAX(0,H27)*Assumptions!$C$37</f>
        <v>115.82896949924722</v>
      </c>
      <c r="I34">
        <f ca="1">MAX(0,I27)*Assumptions!$C$37</f>
        <v>170.4048841046432</v>
      </c>
      <c r="J34">
        <f ca="1">MAX(0,J27)*Assumptions!$C$37</f>
        <v>231.90461681107581</v>
      </c>
      <c r="K34">
        <f ca="1">MAX(0,K27)*Assumptions!$C$37</f>
        <v>289.33219770441758</v>
      </c>
      <c r="L34">
        <f ca="1">MAX(0,L27)*Assumptions!$C$37</f>
        <v>343.87903285798791</v>
      </c>
    </row>
    <row r="35" spans="2:12" ht="15" customHeight="1" x14ac:dyDescent="0.25">
      <c r="B35" t="s">
        <v>802</v>
      </c>
      <c r="C35">
        <v>0</v>
      </c>
      <c r="D35">
        <f t="shared" ref="D35:L35" ca="1" si="12">C38</f>
        <v>0</v>
      </c>
      <c r="E35">
        <f t="shared" ca="1" si="12"/>
        <v>0</v>
      </c>
      <c r="F35">
        <f t="shared" ca="1" si="12"/>
        <v>0</v>
      </c>
      <c r="G35">
        <f t="shared" ca="1" si="12"/>
        <v>14.923212900889721</v>
      </c>
      <c r="H35">
        <f t="shared" ca="1" si="12"/>
        <v>74.942378666860407</v>
      </c>
      <c r="I35">
        <f t="shared" ca="1" si="12"/>
        <v>89.810593916285242</v>
      </c>
      <c r="J35">
        <f t="shared" ca="1" si="12"/>
        <v>0</v>
      </c>
      <c r="K35">
        <f t="shared" ca="1" si="12"/>
        <v>0</v>
      </c>
      <c r="L35">
        <f t="shared" ca="1" si="12"/>
        <v>0</v>
      </c>
    </row>
    <row r="36" spans="2:12" ht="15" customHeight="1" x14ac:dyDescent="0.25">
      <c r="B36" t="s">
        <v>803</v>
      </c>
      <c r="C36">
        <f t="shared" ref="C36:L36" ca="1" si="13">IF(C27&gt;0,MIN(C35,MAX(0,C33-C34)),0)</f>
        <v>0</v>
      </c>
      <c r="D36">
        <f t="shared" ca="1" si="13"/>
        <v>0</v>
      </c>
      <c r="E36">
        <f t="shared" ca="1" si="13"/>
        <v>0</v>
      </c>
      <c r="F36">
        <f t="shared" ca="1" si="13"/>
        <v>0</v>
      </c>
      <c r="G36">
        <f t="shared" ca="1" si="13"/>
        <v>0</v>
      </c>
      <c r="H36">
        <f t="shared" ca="1" si="13"/>
        <v>0</v>
      </c>
      <c r="I36">
        <f t="shared" ca="1" si="13"/>
        <v>89.810593916285242</v>
      </c>
      <c r="J36">
        <f t="shared" ca="1" si="13"/>
        <v>0</v>
      </c>
      <c r="K36">
        <f t="shared" ca="1" si="13"/>
        <v>0</v>
      </c>
      <c r="L36">
        <f t="shared" ca="1" si="13"/>
        <v>0</v>
      </c>
    </row>
    <row r="37" spans="2:12" ht="15" customHeight="1" x14ac:dyDescent="0.25">
      <c r="B37" t="s">
        <v>804</v>
      </c>
      <c r="C37">
        <f t="shared" ref="C37:L37" ca="1" si="14">IF(C27&gt;0,MAX(0,C34-C33),0)</f>
        <v>0</v>
      </c>
      <c r="D37">
        <f t="shared" ca="1" si="14"/>
        <v>0</v>
      </c>
      <c r="E37">
        <f t="shared" ca="1" si="14"/>
        <v>0</v>
      </c>
      <c r="F37">
        <f t="shared" ca="1" si="14"/>
        <v>14.923212900889721</v>
      </c>
      <c r="G37">
        <f t="shared" ca="1" si="14"/>
        <v>60.019165765970683</v>
      </c>
      <c r="H37">
        <f t="shared" ca="1" si="14"/>
        <v>14.868215249424836</v>
      </c>
      <c r="I37">
        <f t="shared" ca="1" si="14"/>
        <v>0</v>
      </c>
      <c r="J37">
        <f t="shared" ca="1" si="14"/>
        <v>0</v>
      </c>
      <c r="K37">
        <f t="shared" ca="1" si="14"/>
        <v>0</v>
      </c>
      <c r="L37">
        <f t="shared" ca="1" si="14"/>
        <v>0</v>
      </c>
    </row>
    <row r="38" spans="2:12" ht="15" customHeight="1" x14ac:dyDescent="0.25">
      <c r="B38" t="s">
        <v>805</v>
      </c>
      <c r="C38">
        <f t="shared" ref="C38:L38" ca="1" si="15">C35+C37-C36</f>
        <v>0</v>
      </c>
      <c r="D38">
        <f t="shared" ca="1" si="15"/>
        <v>0</v>
      </c>
      <c r="E38">
        <f t="shared" ca="1" si="15"/>
        <v>0</v>
      </c>
      <c r="F38">
        <f t="shared" ca="1" si="15"/>
        <v>14.923212900889721</v>
      </c>
      <c r="G38">
        <f t="shared" ca="1" si="15"/>
        <v>74.942378666860407</v>
      </c>
      <c r="H38">
        <f t="shared" ca="1" si="15"/>
        <v>89.810593916285242</v>
      </c>
      <c r="I38">
        <f t="shared" ca="1" si="15"/>
        <v>0</v>
      </c>
      <c r="J38">
        <f t="shared" ca="1" si="15"/>
        <v>0</v>
      </c>
      <c r="K38">
        <f t="shared" ca="1" si="15"/>
        <v>0</v>
      </c>
      <c r="L38">
        <f t="shared" ca="1" si="15"/>
        <v>0</v>
      </c>
    </row>
    <row r="40" spans="2:12" ht="15" customHeight="1" x14ac:dyDescent="0.25">
      <c r="B40" s="93" t="s">
        <v>806</v>
      </c>
      <c r="C40" s="93"/>
      <c r="D40" s="93"/>
      <c r="E40" s="93"/>
      <c r="F40" s="93"/>
      <c r="G40" s="93"/>
      <c r="H40" s="93"/>
      <c r="I40" s="93"/>
      <c r="J40" s="93"/>
      <c r="K40" s="93"/>
      <c r="L40" s="93"/>
    </row>
    <row r="41" spans="2:12" ht="15" customHeight="1" x14ac:dyDescent="0.25">
      <c r="B41" s="94" t="s">
        <v>287</v>
      </c>
      <c r="C41" s="95">
        <f ca="1">'R&amp;D_NRE'!D18</f>
        <v>4.375</v>
      </c>
      <c r="D41" s="95">
        <f ca="1">'R&amp;D_NRE'!E18</f>
        <v>19.216666666666669</v>
      </c>
      <c r="E41" s="95">
        <f ca="1">'R&amp;D_NRE'!F18</f>
        <v>29.085000000000004</v>
      </c>
      <c r="F41" s="95">
        <f ca="1">'R&amp;D_NRE'!G18</f>
        <v>36.308333333333337</v>
      </c>
      <c r="G41" s="95">
        <f ca="1">'R&amp;D_NRE'!H18</f>
        <v>40.640000000000008</v>
      </c>
      <c r="H41" s="95">
        <f ca="1">'R&amp;D_NRE'!I18</f>
        <v>43.07833333333334</v>
      </c>
      <c r="I41" s="95">
        <f ca="1">'R&amp;D_NRE'!J18</f>
        <v>40.097500000000004</v>
      </c>
      <c r="J41" s="95">
        <f ca="1">'R&amp;D_NRE'!K18</f>
        <v>26.307666666666673</v>
      </c>
      <c r="K41" s="95">
        <f ca="1">'R&amp;D_NRE'!L18</f>
        <v>17.303666666666668</v>
      </c>
      <c r="L41" s="95">
        <f ca="1">'R&amp;D_NRE'!M18</f>
        <v>10.458833333333333</v>
      </c>
    </row>
    <row r="42" spans="2:12" ht="15" customHeight="1" x14ac:dyDescent="0.25">
      <c r="B42" s="94" t="s">
        <v>289</v>
      </c>
      <c r="C42" s="95">
        <f>'R&amp;D_NRE'!D16</f>
        <v>26.25</v>
      </c>
      <c r="D42" s="95">
        <f>'R&amp;D_NRE'!E16</f>
        <v>89.050000000000011</v>
      </c>
      <c r="E42" s="95">
        <f>'R&amp;D_NRE'!F16</f>
        <v>59.210000000000008</v>
      </c>
      <c r="F42" s="95">
        <f>'R&amp;D_NRE'!G16</f>
        <v>43.34</v>
      </c>
      <c r="G42" s="95">
        <f>'R&amp;D_NRE'!H16</f>
        <v>25.989999999999995</v>
      </c>
      <c r="H42" s="95">
        <f>'R&amp;D_NRE'!I16</f>
        <v>14.630000000000003</v>
      </c>
      <c r="I42" s="95">
        <f>'R&amp;D_NRE'!J16</f>
        <v>8.3650000000000002</v>
      </c>
      <c r="J42" s="95">
        <f>'R&amp;D_NRE'!K16</f>
        <v>6.3110000000000008</v>
      </c>
      <c r="K42" s="95">
        <f>'R&amp;D_NRE'!L16</f>
        <v>5.1859999999999999</v>
      </c>
      <c r="L42" s="95">
        <f>'R&amp;D_NRE'!M16</f>
        <v>2.2709999999999999</v>
      </c>
    </row>
    <row r="43" spans="2:12" ht="15" customHeight="1" x14ac:dyDescent="0.25">
      <c r="B43" s="94" t="s">
        <v>291</v>
      </c>
      <c r="C43" s="95">
        <f t="shared" ref="C43:L43" ca="1" si="16">C27+C41-C42</f>
        <v>-356.94325344305679</v>
      </c>
      <c r="D43" s="95">
        <f t="shared" ca="1" si="16"/>
        <v>-425.54676959484271</v>
      </c>
      <c r="E43" s="95">
        <f t="shared" ca="1" si="16"/>
        <v>-121.54261440352852</v>
      </c>
      <c r="F43" s="95">
        <f t="shared" ca="1" si="16"/>
        <v>92.456419339264812</v>
      </c>
      <c r="G43" s="95">
        <f t="shared" ca="1" si="16"/>
        <v>414.77777177313789</v>
      </c>
      <c r="H43" s="95">
        <f t="shared" ca="1" si="16"/>
        <v>800.6414633283149</v>
      </c>
      <c r="I43" s="95">
        <f t="shared" ca="1" si="16"/>
        <v>1167.7650606976215</v>
      </c>
      <c r="J43" s="95">
        <f t="shared" ca="1" si="16"/>
        <v>1566.0274454071721</v>
      </c>
      <c r="K43" s="95">
        <f t="shared" ca="1" si="16"/>
        <v>1940.9989846961173</v>
      </c>
      <c r="L43" s="95">
        <f t="shared" ca="1" si="16"/>
        <v>2300.7147190532523</v>
      </c>
    </row>
  </sheetData>
  <mergeCells count="1">
    <mergeCell ref="B2:M2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2:M35"/>
  <sheetViews>
    <sheetView showGridLines="0" zoomScaleNormal="100" workbookViewId="0">
      <pane xSplit="2" ySplit="4" topLeftCell="C14" activePane="bottomRight" state="frozen"/>
      <selection pane="topRight" activeCell="C1" sqref="C1"/>
      <selection pane="bottomLeft" activeCell="A14" sqref="A14"/>
      <selection pane="bottomRight" activeCell="F37" sqref="F37"/>
    </sheetView>
  </sheetViews>
  <sheetFormatPr defaultColWidth="8.7109375" defaultRowHeight="15" x14ac:dyDescent="0.25"/>
  <cols>
    <col min="1" max="1" width="1.5703125" customWidth="1"/>
    <col min="2" max="2" width="42" customWidth="1"/>
    <col min="3" max="12" width="13" customWidth="1"/>
  </cols>
  <sheetData>
    <row r="2" spans="2:13" ht="24" customHeight="1" x14ac:dyDescent="0.25">
      <c r="B2" s="108" t="s">
        <v>807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</row>
    <row r="4" spans="2:13" ht="15" customHeight="1" x14ac:dyDescent="0.25">
      <c r="B4" s="9" t="s">
        <v>778</v>
      </c>
      <c r="C4" s="10" t="s">
        <v>30</v>
      </c>
      <c r="D4" s="10" t="s">
        <v>25</v>
      </c>
      <c r="E4" s="10" t="s">
        <v>44</v>
      </c>
      <c r="F4" s="10" t="s">
        <v>39</v>
      </c>
      <c r="G4" s="10" t="s">
        <v>58</v>
      </c>
      <c r="H4" s="10" t="s">
        <v>59</v>
      </c>
      <c r="I4" s="10" t="s">
        <v>60</v>
      </c>
      <c r="J4" s="10" t="s">
        <v>61</v>
      </c>
      <c r="K4" s="10" t="s">
        <v>62</v>
      </c>
      <c r="L4" s="10" t="s">
        <v>63</v>
      </c>
    </row>
    <row r="5" spans="2:13" ht="21.75" customHeight="1" x14ac:dyDescent="0.25">
      <c r="B5" s="110" t="s">
        <v>808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</row>
    <row r="6" spans="2:13" ht="15" customHeight="1" x14ac:dyDescent="0.25">
      <c r="B6" s="2" t="s">
        <v>72</v>
      </c>
      <c r="C6" s="14">
        <f ca="1">'P&amp;L'!C24</f>
        <v>-335.06825344305679</v>
      </c>
      <c r="D6" s="14">
        <f ca="1">'P&amp;L'!D24</f>
        <v>-355.7134362615094</v>
      </c>
      <c r="E6" s="14">
        <f ca="1">'P&amp;L'!E24</f>
        <v>-91.417614403528518</v>
      </c>
      <c r="F6" s="14">
        <f ca="1">'P&amp;L'!F24</f>
        <v>99.488086005931478</v>
      </c>
      <c r="G6" s="14">
        <f ca="1">'P&amp;L'!G24</f>
        <v>400.12777177313791</v>
      </c>
      <c r="H6" s="14">
        <f ca="1">'P&amp;L'!H24</f>
        <v>671.23237574515917</v>
      </c>
      <c r="I6" s="14">
        <f ca="1">'P&amp;L'!I24</f>
        <v>844.0912955232161</v>
      </c>
      <c r="J6" s="14">
        <f ca="1">'P&amp;L'!J24</f>
        <v>1154.5239173887123</v>
      </c>
      <c r="K6" s="14">
        <f ca="1">'P&amp;L'!K24</f>
        <v>1443.6315718554213</v>
      </c>
      <c r="L6" s="14">
        <f ca="1">'P&amp;L'!L24</f>
        <v>1717.3482059566063</v>
      </c>
    </row>
    <row r="7" spans="2:13" ht="15" customHeight="1" x14ac:dyDescent="0.25">
      <c r="B7" s="75" t="s">
        <v>809</v>
      </c>
      <c r="C7" s="14">
        <f ca="1">'P&amp;L'!C19</f>
        <v>9.7720238095238106</v>
      </c>
      <c r="D7" s="14">
        <f ca="1">'P&amp;L'!D19</f>
        <v>33.331071428571434</v>
      </c>
      <c r="E7" s="14">
        <f ca="1">'P&amp;L'!E19</f>
        <v>55.818214285714291</v>
      </c>
      <c r="F7" s="14">
        <f ca="1">'P&amp;L'!F19</f>
        <v>74.975833333333327</v>
      </c>
      <c r="G7" s="14">
        <f ca="1">'P&amp;L'!G19</f>
        <v>87.005238095238099</v>
      </c>
      <c r="H7" s="14">
        <f ca="1">'P&amp;L'!H19</f>
        <v>92.688809523809525</v>
      </c>
      <c r="I7" s="14">
        <f ca="1">'P&amp;L'!I19</f>
        <v>88.821309523809532</v>
      </c>
      <c r="J7" s="14">
        <f ca="1">'P&amp;L'!J19</f>
        <v>73.570761904761909</v>
      </c>
      <c r="K7" s="14">
        <f ca="1">'P&amp;L'!K19</f>
        <v>63.384738095238106</v>
      </c>
      <c r="L7" s="14">
        <f ca="1">'P&amp;L'!L19</f>
        <v>54.563238095238091</v>
      </c>
    </row>
    <row r="8" spans="2:13" ht="15" customHeight="1" x14ac:dyDescent="0.25">
      <c r="B8" s="78" t="s">
        <v>810</v>
      </c>
      <c r="C8" s="14">
        <f>Assumptions!$C$11/365*'P&amp;L'!C5</f>
        <v>25.890410958904109</v>
      </c>
      <c r="D8" s="14">
        <f>Assumptions!$C$11/365*'P&amp;L'!D5</f>
        <v>100.31054794520547</v>
      </c>
      <c r="E8" s="14">
        <f>Assumptions!$C$11/365*'P&amp;L'!E5</f>
        <v>242.14951578082187</v>
      </c>
      <c r="F8" s="14">
        <f>Assumptions!$C$11/365*'P&amp;L'!F5</f>
        <v>421.74420297041092</v>
      </c>
      <c r="G8" s="14">
        <f>Assumptions!$C$11/365*'P&amp;L'!G5</f>
        <v>713.93509588058612</v>
      </c>
      <c r="H8" s="14">
        <f>Assumptions!$C$11/365*'P&amp;L'!H5</f>
        <v>1075.180638637253</v>
      </c>
      <c r="I8" s="14">
        <f>Assumptions!$C$11/365*'P&amp;L'!I5</f>
        <v>1422.1707376643569</v>
      </c>
      <c r="J8" s="14">
        <f>Assumptions!$C$11/365*'P&amp;L'!J5</f>
        <v>1804.6079802941945</v>
      </c>
      <c r="K8" s="14">
        <f>Assumptions!$C$11/365*'P&amp;L'!K5</f>
        <v>2160.3244227249784</v>
      </c>
      <c r="L8" s="14">
        <f>Assumptions!$C$11/365*'P&amp;L'!L5</f>
        <v>2493.0345010894448</v>
      </c>
    </row>
    <row r="9" spans="2:13" ht="15" customHeight="1" x14ac:dyDescent="0.25">
      <c r="B9" s="78" t="s">
        <v>811</v>
      </c>
      <c r="C9" s="14">
        <f>Assumptions!$C$13/365*'P&amp;L'!C8</f>
        <v>6.2848068247067506</v>
      </c>
      <c r="D9" s="14">
        <f>Assumptions!$C$13/365*'P&amp;L'!D8</f>
        <v>21.125942356669615</v>
      </c>
      <c r="E9" s="14">
        <f>Assumptions!$C$13/365*'P&amp;L'!E8</f>
        <v>44.272158107097724</v>
      </c>
      <c r="F9" s="14">
        <f>Assumptions!$C$13/365*'P&amp;L'!F8</f>
        <v>79.383680465429933</v>
      </c>
      <c r="G9" s="14">
        <f>Assumptions!$C$13/365*'P&amp;L'!G8</f>
        <v>130.42255258975695</v>
      </c>
      <c r="H9" s="14">
        <f>Assumptions!$C$13/365*'P&amp;L'!H8</f>
        <v>190.22257337488418</v>
      </c>
      <c r="I9" s="14">
        <f>Assumptions!$C$13/365*'P&amp;L'!I8</f>
        <v>246.18441403784476</v>
      </c>
      <c r="J9" s="14">
        <f>Assumptions!$C$13/365*'P&amp;L'!J8</f>
        <v>307.88618707896728</v>
      </c>
      <c r="K9" s="14">
        <f>Assumptions!$C$13/365*'P&amp;L'!K8</f>
        <v>363.72095212897898</v>
      </c>
      <c r="L9" s="14">
        <f>Assumptions!$C$13/365*'P&amp;L'!L8</f>
        <v>413.74652642773253</v>
      </c>
    </row>
    <row r="10" spans="2:13" ht="15" customHeight="1" x14ac:dyDescent="0.25">
      <c r="B10" s="78" t="s">
        <v>812</v>
      </c>
      <c r="C10" s="14">
        <f>Assumptions!$C$12/365*'P&amp;L'!C8</f>
        <v>3.1424034123533753</v>
      </c>
      <c r="D10" s="14">
        <f>Assumptions!$C$12/365*'P&amp;L'!D8</f>
        <v>10.562971178334807</v>
      </c>
      <c r="E10" s="14">
        <f>Assumptions!$C$12/365*'P&amp;L'!E8</f>
        <v>22.136079053548862</v>
      </c>
      <c r="F10" s="14">
        <f>Assumptions!$C$12/365*'P&amp;L'!F8</f>
        <v>39.691840232714966</v>
      </c>
      <c r="G10" s="14">
        <f>Assumptions!$C$12/365*'P&amp;L'!G8</f>
        <v>65.211276294878473</v>
      </c>
      <c r="H10" s="14">
        <f>Assumptions!$C$12/365*'P&amp;L'!H8</f>
        <v>95.111286687442089</v>
      </c>
      <c r="I10" s="14">
        <f>Assumptions!$C$12/365*'P&amp;L'!I8</f>
        <v>123.09220701892238</v>
      </c>
      <c r="J10" s="14">
        <f>Assumptions!$C$12/365*'P&amp;L'!J8</f>
        <v>153.94309353948364</v>
      </c>
      <c r="K10" s="14">
        <f>Assumptions!$C$12/365*'P&amp;L'!K8</f>
        <v>181.86047606448949</v>
      </c>
      <c r="L10" s="14">
        <f>Assumptions!$C$12/365*'P&amp;L'!L8</f>
        <v>206.87326321386627</v>
      </c>
    </row>
    <row r="11" spans="2:13" ht="15" customHeight="1" x14ac:dyDescent="0.25">
      <c r="B11" s="78" t="s">
        <v>813</v>
      </c>
      <c r="C11" s="14">
        <f t="shared" ref="C11:L11" si="0">C8+C9-C10</f>
        <v>29.032814371257487</v>
      </c>
      <c r="D11" s="14">
        <f t="shared" si="0"/>
        <v>110.87351912354028</v>
      </c>
      <c r="E11" s="14">
        <f t="shared" si="0"/>
        <v>264.28559483437073</v>
      </c>
      <c r="F11" s="14">
        <f t="shared" si="0"/>
        <v>461.43604320312591</v>
      </c>
      <c r="G11" s="14">
        <f t="shared" si="0"/>
        <v>779.14637217546465</v>
      </c>
      <c r="H11" s="14">
        <f t="shared" si="0"/>
        <v>1170.2919253246951</v>
      </c>
      <c r="I11" s="14">
        <f t="shared" si="0"/>
        <v>1545.2629446832793</v>
      </c>
      <c r="J11" s="14">
        <f t="shared" si="0"/>
        <v>1958.5510738336782</v>
      </c>
      <c r="K11" s="14">
        <f t="shared" si="0"/>
        <v>2342.1848987894682</v>
      </c>
      <c r="L11" s="14">
        <f t="shared" si="0"/>
        <v>2699.9077643033111</v>
      </c>
    </row>
    <row r="12" spans="2:13" ht="23.25" customHeight="1" x14ac:dyDescent="0.25">
      <c r="B12" s="75" t="s">
        <v>814</v>
      </c>
      <c r="C12" s="14">
        <f>C11</f>
        <v>29.032814371257487</v>
      </c>
      <c r="D12" s="14">
        <f t="shared" ref="D12:L12" si="1">D11-C11</f>
        <v>81.84070475228279</v>
      </c>
      <c r="E12" s="14">
        <f t="shared" si="1"/>
        <v>153.41207571083044</v>
      </c>
      <c r="F12" s="14">
        <f t="shared" si="1"/>
        <v>197.15044836875518</v>
      </c>
      <c r="G12" s="14">
        <f t="shared" si="1"/>
        <v>317.71032897233874</v>
      </c>
      <c r="H12" s="14">
        <f t="shared" si="1"/>
        <v>391.14555314923041</v>
      </c>
      <c r="I12" s="14">
        <f t="shared" si="1"/>
        <v>374.97101935858427</v>
      </c>
      <c r="J12" s="14">
        <f t="shared" si="1"/>
        <v>413.28812915039885</v>
      </c>
      <c r="K12" s="14">
        <f t="shared" si="1"/>
        <v>383.63382495579003</v>
      </c>
      <c r="L12" s="14">
        <f t="shared" si="1"/>
        <v>357.72286551384286</v>
      </c>
    </row>
    <row r="13" spans="2:13" ht="15" customHeight="1" x14ac:dyDescent="0.25">
      <c r="B13" s="75" t="s">
        <v>815</v>
      </c>
      <c r="C13" s="14">
        <f>Backlog!D57</f>
        <v>63.758250000000004</v>
      </c>
      <c r="D13" s="14">
        <f>Backlog!E57</f>
        <v>105.41443499999997</v>
      </c>
      <c r="E13" s="14">
        <f>Backlog!F57</f>
        <v>150.27770895000003</v>
      </c>
      <c r="F13" s="14">
        <f>Backlog!G57</f>
        <v>249.59369659650002</v>
      </c>
      <c r="G13" s="14">
        <f>Backlog!H57</f>
        <v>314.20031666965497</v>
      </c>
      <c r="H13" s="14">
        <f>Backlog!I57</f>
        <v>313.40507908116882</v>
      </c>
      <c r="I13" s="14">
        <f>Backlog!J57</f>
        <v>348.17912729375803</v>
      </c>
      <c r="J13" s="14">
        <f>Backlog!K57</f>
        <v>332.71023599384921</v>
      </c>
      <c r="K13" s="14">
        <f>Backlog!L57</f>
        <v>315.58488642115231</v>
      </c>
      <c r="L13" s="14">
        <f>Backlog!M57</f>
        <v>308.83772091862716</v>
      </c>
    </row>
    <row r="14" spans="2:13" ht="15" customHeight="1" x14ac:dyDescent="0.25">
      <c r="B14" s="41" t="s">
        <v>816</v>
      </c>
      <c r="C14" s="43">
        <f t="shared" ref="C14:L14" ca="1" si="2">C6+C7-C12+C13+C15</f>
        <v>-290.5707940047904</v>
      </c>
      <c r="D14" s="43">
        <f t="shared" ca="1" si="2"/>
        <v>-298.80863458522077</v>
      </c>
      <c r="E14" s="43">
        <f t="shared" ca="1" si="2"/>
        <v>-38.733766878644644</v>
      </c>
      <c r="F14" s="43">
        <f t="shared" ca="1" si="2"/>
        <v>211.98395466611993</v>
      </c>
      <c r="G14" s="43">
        <f t="shared" ca="1" si="2"/>
        <v>423.60383179972155</v>
      </c>
      <c r="H14" s="43">
        <f t="shared" ca="1" si="2"/>
        <v>671.31249595148233</v>
      </c>
      <c r="I14" s="43">
        <f t="shared" ca="1" si="2"/>
        <v>995.93130689848465</v>
      </c>
      <c r="J14" s="43">
        <f t="shared" ca="1" si="2"/>
        <v>1147.5167861369246</v>
      </c>
      <c r="K14" s="43">
        <f t="shared" ca="1" si="2"/>
        <v>1438.9673714160217</v>
      </c>
      <c r="L14" s="43">
        <f t="shared" ca="1" si="2"/>
        <v>1723.0262994566287</v>
      </c>
    </row>
    <row r="15" spans="2:13" ht="33" customHeight="1" x14ac:dyDescent="0.25">
      <c r="B15" s="53" t="s">
        <v>817</v>
      </c>
      <c r="C15">
        <f ca="1">-'P&amp;L'!C38</f>
        <v>0</v>
      </c>
      <c r="D15">
        <f ca="1">-('P&amp;L'!D38-'P&amp;L'!C38)</f>
        <v>0</v>
      </c>
      <c r="E15">
        <f ca="1">-('P&amp;L'!E38-'P&amp;L'!D38)</f>
        <v>0</v>
      </c>
      <c r="F15">
        <f ca="1">-('P&amp;L'!F38-'P&amp;L'!E38)</f>
        <v>-14.923212900889721</v>
      </c>
      <c r="G15">
        <f ca="1">-('P&amp;L'!G38-'P&amp;L'!F38)</f>
        <v>-60.019165765970683</v>
      </c>
      <c r="H15">
        <f ca="1">-('P&amp;L'!H38-'P&amp;L'!G38)</f>
        <v>-14.868215249424836</v>
      </c>
      <c r="I15">
        <f ca="1">-('P&amp;L'!I38-'P&amp;L'!H38)</f>
        <v>89.810593916285242</v>
      </c>
      <c r="J15">
        <f ca="1">-('P&amp;L'!J38-'P&amp;L'!I38)</f>
        <v>0</v>
      </c>
      <c r="K15">
        <f ca="1">-('P&amp;L'!K38-'P&amp;L'!J38)</f>
        <v>0</v>
      </c>
      <c r="L15">
        <f ca="1">-('P&amp;L'!L38-'P&amp;L'!K38)</f>
        <v>0</v>
      </c>
    </row>
    <row r="16" spans="2:13" ht="21.75" customHeight="1" x14ac:dyDescent="0.25">
      <c r="B16" s="110" t="s">
        <v>818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</row>
    <row r="17" spans="2:13" ht="15" customHeight="1" x14ac:dyDescent="0.25">
      <c r="B17" s="2" t="s">
        <v>819</v>
      </c>
      <c r="C17" s="14">
        <f>-Capex!D21</f>
        <v>-35.450000000000003</v>
      </c>
      <c r="D17" s="14">
        <f>-Capex!E21</f>
        <v>-67.224999999999994</v>
      </c>
      <c r="E17" s="14">
        <f>-Capex!F21</f>
        <v>-118.15</v>
      </c>
      <c r="F17" s="14">
        <f>-Capex!G21</f>
        <v>-135.69999999999999</v>
      </c>
      <c r="G17" s="14">
        <f>-Capex!H21</f>
        <v>-94.375</v>
      </c>
      <c r="H17" s="14">
        <f>-Capex!I21</f>
        <v>-47.1</v>
      </c>
      <c r="I17" s="14">
        <f>-Capex!J21</f>
        <v>-19.95</v>
      </c>
      <c r="J17" s="14">
        <f>-Capex!K21</f>
        <v>-29.45</v>
      </c>
      <c r="K17" s="14">
        <f>-Capex!L21</f>
        <v>-29.925000000000001</v>
      </c>
      <c r="L17" s="14">
        <f>-Capex!M21</f>
        <v>-22.8</v>
      </c>
    </row>
    <row r="18" spans="2:13" ht="15" customHeight="1" x14ac:dyDescent="0.25">
      <c r="B18" s="2" t="s">
        <v>820</v>
      </c>
      <c r="C18" s="14">
        <f>-Backlog!D63</f>
        <v>-7.6509900000000002</v>
      </c>
      <c r="D18" s="14">
        <f>-(Backlog!E63-Backlog!D63)</f>
        <v>-12.649732199999995</v>
      </c>
      <c r="E18" s="14">
        <f>-(Backlog!F63-Backlog!E63)</f>
        <v>-18.033325074000004</v>
      </c>
      <c r="F18" s="14">
        <f>-(Backlog!G63-Backlog!F63)</f>
        <v>-29.951243591579995</v>
      </c>
      <c r="G18" s="14">
        <f>-(Backlog!H63-Backlog!G63)</f>
        <v>-37.704038000358608</v>
      </c>
      <c r="H18" s="14">
        <f>-(Backlog!I63-Backlog!H63)</f>
        <v>-37.608609489740246</v>
      </c>
      <c r="I18" s="14">
        <f>-(Backlog!J63-Backlog!I63)</f>
        <v>-41.78149527525099</v>
      </c>
      <c r="J18" s="14">
        <f>-(Backlog!K63-Backlog!J63)</f>
        <v>-39.92522831926189</v>
      </c>
      <c r="K18" s="14">
        <f>-(Backlog!L63-Backlog!K63)</f>
        <v>-37.870186370538221</v>
      </c>
      <c r="L18" s="14">
        <f>-(Backlog!M63-Backlog!L63)</f>
        <v>-37.06052651023532</v>
      </c>
    </row>
    <row r="19" spans="2:13" ht="15" customHeight="1" x14ac:dyDescent="0.25">
      <c r="B19" s="41" t="s">
        <v>821</v>
      </c>
      <c r="C19" s="43">
        <f>C17+C18-'R&amp;D_NRE'!D16</f>
        <v>-69.350989999999996</v>
      </c>
      <c r="D19" s="43">
        <f>D17+D18-'R&amp;D_NRE'!E16</f>
        <v>-168.92473219999999</v>
      </c>
      <c r="E19" s="43">
        <f>E17+E18-'R&amp;D_NRE'!F16</f>
        <v>-195.39332507400002</v>
      </c>
      <c r="F19" s="43">
        <f>F17+F18-'R&amp;D_NRE'!G16</f>
        <v>-208.99124359158</v>
      </c>
      <c r="G19" s="43">
        <f>G17+G18-'R&amp;D_NRE'!H16</f>
        <v>-158.0690380003586</v>
      </c>
      <c r="H19" s="43">
        <f>H17+H18-'R&amp;D_NRE'!I16</f>
        <v>-99.338609489740236</v>
      </c>
      <c r="I19" s="43">
        <f>I17+I18-'R&amp;D_NRE'!J16</f>
        <v>-70.096495275250987</v>
      </c>
      <c r="J19" s="43">
        <f>J17+J18-'R&amp;D_NRE'!K16</f>
        <v>-75.6862283192619</v>
      </c>
      <c r="K19" s="43">
        <f>K17+K18-'R&amp;D_NRE'!L16</f>
        <v>-72.981186370538211</v>
      </c>
      <c r="L19" s="43">
        <f>L17+L18-'R&amp;D_NRE'!M16</f>
        <v>-62.131526510235318</v>
      </c>
    </row>
    <row r="21" spans="2:13" ht="21.75" customHeight="1" x14ac:dyDescent="0.25">
      <c r="B21" s="110" t="s">
        <v>822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</row>
    <row r="22" spans="2:13" ht="15" customHeight="1" x14ac:dyDescent="0.25">
      <c r="B22" s="42" t="s">
        <v>81</v>
      </c>
      <c r="C22" s="14">
        <f>Funding!D9</f>
        <v>450</v>
      </c>
      <c r="D22" s="14">
        <f>Funding!E9</f>
        <v>400</v>
      </c>
      <c r="E22" s="14">
        <f>Funding!F9</f>
        <v>250</v>
      </c>
      <c r="F22" s="14">
        <f>Funding!G9</f>
        <v>0</v>
      </c>
      <c r="G22" s="14">
        <f>Funding!H9</f>
        <v>0</v>
      </c>
      <c r="H22" s="14">
        <f>Funding!I9</f>
        <v>0</v>
      </c>
      <c r="I22" s="14">
        <f>Funding!J9</f>
        <v>0</v>
      </c>
      <c r="J22" s="14">
        <f>Funding!K9</f>
        <v>0</v>
      </c>
      <c r="K22" s="14">
        <f>Funding!L9</f>
        <v>0</v>
      </c>
      <c r="L22" s="14">
        <f>Funding!M9</f>
        <v>0</v>
      </c>
    </row>
    <row r="23" spans="2:13" ht="15" customHeight="1" x14ac:dyDescent="0.25">
      <c r="B23" s="42" t="s">
        <v>823</v>
      </c>
      <c r="C23" s="14">
        <f>Funding!D13-Funding!D14</f>
        <v>20</v>
      </c>
      <c r="D23" s="14">
        <f>Funding!E13-Funding!E14</f>
        <v>100</v>
      </c>
      <c r="E23" s="14">
        <f>Funding!F13-Funding!F14</f>
        <v>80</v>
      </c>
      <c r="F23" s="14">
        <f>Funding!G13-Funding!G14</f>
        <v>0</v>
      </c>
      <c r="G23" s="14">
        <f>Funding!H13-Funding!H14</f>
        <v>-36</v>
      </c>
      <c r="H23" s="14">
        <f>Funding!I13-Funding!I14</f>
        <v>-36</v>
      </c>
      <c r="I23" s="14">
        <f>Funding!J13-Funding!J14</f>
        <v>-55</v>
      </c>
      <c r="J23" s="14">
        <f>Funding!K13-Funding!K14</f>
        <v>-65</v>
      </c>
      <c r="K23" s="14">
        <f>Funding!L13-Funding!L14</f>
        <v>-8</v>
      </c>
      <c r="L23" s="14">
        <f>Funding!M13-Funding!M14</f>
        <v>0</v>
      </c>
    </row>
    <row r="24" spans="2:13" ht="15" customHeight="1" x14ac:dyDescent="0.25">
      <c r="B24" s="41" t="s">
        <v>824</v>
      </c>
      <c r="C24" s="43">
        <f t="shared" ref="C24:L24" si="3">C22+C23</f>
        <v>470</v>
      </c>
      <c r="D24" s="43">
        <f t="shared" si="3"/>
        <v>500</v>
      </c>
      <c r="E24" s="43">
        <f t="shared" si="3"/>
        <v>330</v>
      </c>
      <c r="F24" s="43">
        <f t="shared" si="3"/>
        <v>0</v>
      </c>
      <c r="G24" s="43">
        <f t="shared" si="3"/>
        <v>-36</v>
      </c>
      <c r="H24" s="43">
        <f t="shared" si="3"/>
        <v>-36</v>
      </c>
      <c r="I24" s="43">
        <f t="shared" si="3"/>
        <v>-55</v>
      </c>
      <c r="J24" s="43">
        <f t="shared" si="3"/>
        <v>-65</v>
      </c>
      <c r="K24" s="43">
        <f t="shared" si="3"/>
        <v>-8</v>
      </c>
      <c r="L24" s="43">
        <f t="shared" si="3"/>
        <v>0</v>
      </c>
    </row>
    <row r="26" spans="2:13" ht="21.75" customHeight="1" x14ac:dyDescent="0.25">
      <c r="B26" s="110" t="s">
        <v>825</v>
      </c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</row>
    <row r="27" spans="2:13" ht="15" customHeight="1" x14ac:dyDescent="0.25">
      <c r="B27" s="41" t="s">
        <v>826</v>
      </c>
      <c r="C27" s="43">
        <f t="shared" ref="C27:L27" ca="1" si="4">C14+C19</f>
        <v>-359.92178400479042</v>
      </c>
      <c r="D27" s="43">
        <f t="shared" ca="1" si="4"/>
        <v>-467.73336678522077</v>
      </c>
      <c r="E27" s="43">
        <f t="shared" ca="1" si="4"/>
        <v>-234.12709195264466</v>
      </c>
      <c r="F27" s="43">
        <f t="shared" ca="1" si="4"/>
        <v>2.9927110745399261</v>
      </c>
      <c r="G27" s="43">
        <f t="shared" ca="1" si="4"/>
        <v>265.53479379936294</v>
      </c>
      <c r="H27" s="43">
        <f t="shared" ca="1" si="4"/>
        <v>571.97388646174204</v>
      </c>
      <c r="I27" s="43">
        <f t="shared" ca="1" si="4"/>
        <v>925.83481162323369</v>
      </c>
      <c r="J27" s="43">
        <f t="shared" ca="1" si="4"/>
        <v>1071.8305578176626</v>
      </c>
      <c r="K27" s="43">
        <f t="shared" ca="1" si="4"/>
        <v>1365.9861850454836</v>
      </c>
      <c r="L27" s="43">
        <f t="shared" ca="1" si="4"/>
        <v>1660.8947729463935</v>
      </c>
    </row>
    <row r="28" spans="2:13" ht="15" customHeight="1" x14ac:dyDescent="0.25">
      <c r="B28" s="42" t="s">
        <v>827</v>
      </c>
      <c r="C28" s="14">
        <f ca="1">C27</f>
        <v>-359.92178400479042</v>
      </c>
      <c r="D28" s="14">
        <f t="shared" ref="D28:L28" ca="1" si="5">C28+D27</f>
        <v>-827.65515079001125</v>
      </c>
      <c r="E28" s="14">
        <f t="shared" ca="1" si="5"/>
        <v>-1061.7822427426559</v>
      </c>
      <c r="F28" s="14">
        <f t="shared" ca="1" si="5"/>
        <v>-1058.7895316681158</v>
      </c>
      <c r="G28" s="14">
        <f t="shared" ca="1" si="5"/>
        <v>-793.25473786875295</v>
      </c>
      <c r="H28" s="14">
        <f t="shared" ca="1" si="5"/>
        <v>-221.28085140701091</v>
      </c>
      <c r="I28" s="14">
        <f t="shared" ca="1" si="5"/>
        <v>704.55396021622278</v>
      </c>
      <c r="J28" s="14">
        <f t="shared" ca="1" si="5"/>
        <v>1776.3845180338853</v>
      </c>
      <c r="K28" s="14">
        <f t="shared" ca="1" si="5"/>
        <v>3142.3707030793689</v>
      </c>
      <c r="L28" s="14">
        <f t="shared" ca="1" si="5"/>
        <v>4803.2654760257628</v>
      </c>
    </row>
    <row r="29" spans="2:13" ht="15" customHeight="1" x14ac:dyDescent="0.25">
      <c r="B29" s="2" t="s">
        <v>828</v>
      </c>
      <c r="C29" s="14">
        <f t="shared" ref="C29:L29" ca="1" si="6">C27+C24</f>
        <v>110.07821599520958</v>
      </c>
      <c r="D29" s="14">
        <f t="shared" ca="1" si="6"/>
        <v>32.266633214779233</v>
      </c>
      <c r="E29" s="14">
        <f t="shared" ca="1" si="6"/>
        <v>95.872908047355338</v>
      </c>
      <c r="F29" s="14">
        <f t="shared" ca="1" si="6"/>
        <v>2.9927110745399261</v>
      </c>
      <c r="G29" s="14">
        <f t="shared" ca="1" si="6"/>
        <v>229.53479379936294</v>
      </c>
      <c r="H29" s="14">
        <f t="shared" ca="1" si="6"/>
        <v>535.97388646174204</v>
      </c>
      <c r="I29" s="14">
        <f t="shared" ca="1" si="6"/>
        <v>870.83481162323369</v>
      </c>
      <c r="J29" s="14">
        <f t="shared" ca="1" si="6"/>
        <v>1006.8305578176626</v>
      </c>
      <c r="K29" s="14">
        <f t="shared" ca="1" si="6"/>
        <v>1357.9861850454836</v>
      </c>
      <c r="L29" s="14">
        <f t="shared" ca="1" si="6"/>
        <v>1660.8947729463935</v>
      </c>
    </row>
    <row r="30" spans="2:13" ht="15" customHeight="1" x14ac:dyDescent="0.25">
      <c r="B30" s="65" t="s">
        <v>829</v>
      </c>
      <c r="C30" s="66">
        <f ca="1">C29</f>
        <v>110.07821599520958</v>
      </c>
      <c r="D30" s="66">
        <f t="shared" ref="D30:L30" ca="1" si="7">C30+D29</f>
        <v>142.34484920998881</v>
      </c>
      <c r="E30" s="66">
        <f t="shared" ca="1" si="7"/>
        <v>238.21775725734415</v>
      </c>
      <c r="F30" s="66">
        <f t="shared" ca="1" si="7"/>
        <v>241.21046833188407</v>
      </c>
      <c r="G30" s="66">
        <f t="shared" ca="1" si="7"/>
        <v>470.74526213124705</v>
      </c>
      <c r="H30" s="66">
        <f t="shared" ca="1" si="7"/>
        <v>1006.7191485929891</v>
      </c>
      <c r="I30" s="66">
        <f t="shared" ca="1" si="7"/>
        <v>1877.5539602162228</v>
      </c>
      <c r="J30" s="66">
        <f t="shared" ca="1" si="7"/>
        <v>2884.3845180338853</v>
      </c>
      <c r="K30" s="66">
        <f t="shared" ca="1" si="7"/>
        <v>4242.3707030793685</v>
      </c>
      <c r="L30" s="66">
        <f t="shared" ca="1" si="7"/>
        <v>5903.2654760257619</v>
      </c>
    </row>
    <row r="31" spans="2:13" ht="15" customHeight="1" x14ac:dyDescent="0.25">
      <c r="B31" s="42" t="s">
        <v>830</v>
      </c>
      <c r="C31" s="14">
        <f>C22+MAX(0,C23)</f>
        <v>470</v>
      </c>
      <c r="D31" s="14">
        <f t="shared" ref="D31:L31" si="8">C31+D22+MAX(0,D23)</f>
        <v>970</v>
      </c>
      <c r="E31" s="14">
        <f t="shared" si="8"/>
        <v>1300</v>
      </c>
      <c r="F31" s="14">
        <f t="shared" si="8"/>
        <v>1300</v>
      </c>
      <c r="G31" s="14">
        <f t="shared" si="8"/>
        <v>1300</v>
      </c>
      <c r="H31" s="14">
        <f t="shared" si="8"/>
        <v>1300</v>
      </c>
      <c r="I31" s="14">
        <f t="shared" si="8"/>
        <v>1300</v>
      </c>
      <c r="J31" s="14">
        <f t="shared" si="8"/>
        <v>1300</v>
      </c>
      <c r="K31" s="14">
        <f t="shared" si="8"/>
        <v>1300</v>
      </c>
      <c r="L31" s="14">
        <f t="shared" si="8"/>
        <v>1300</v>
      </c>
    </row>
    <row r="32" spans="2:13" ht="34.5" customHeight="1" x14ac:dyDescent="0.25">
      <c r="B32" s="53" t="s">
        <v>831</v>
      </c>
      <c r="C32">
        <f>-'R&amp;D_NRE'!D16</f>
        <v>-26.25</v>
      </c>
      <c r="D32">
        <f>-'R&amp;D_NRE'!E16</f>
        <v>-89.050000000000011</v>
      </c>
      <c r="E32">
        <f>-'R&amp;D_NRE'!F16</f>
        <v>-59.210000000000008</v>
      </c>
      <c r="F32">
        <f>-'R&amp;D_NRE'!G16</f>
        <v>-43.34</v>
      </c>
      <c r="G32">
        <f>-'R&amp;D_NRE'!H16</f>
        <v>-25.989999999999995</v>
      </c>
      <c r="H32">
        <f>-'R&amp;D_NRE'!I16</f>
        <v>-14.630000000000003</v>
      </c>
      <c r="I32">
        <f>-'R&amp;D_NRE'!J16</f>
        <v>-8.3650000000000002</v>
      </c>
      <c r="J32">
        <f>-'R&amp;D_NRE'!K16</f>
        <v>-6.3110000000000008</v>
      </c>
      <c r="K32">
        <f>-'R&amp;D_NRE'!L16</f>
        <v>-5.1859999999999999</v>
      </c>
      <c r="L32">
        <f>-'R&amp;D_NRE'!M16</f>
        <v>-2.2709999999999999</v>
      </c>
    </row>
    <row r="33" spans="2:12" ht="15" customHeight="1" x14ac:dyDescent="0.25">
      <c r="B33" t="s">
        <v>832</v>
      </c>
      <c r="C33" s="26">
        <f>Assumptions!$C$25</f>
        <v>100</v>
      </c>
      <c r="D33" s="26">
        <f>Assumptions!$C$25</f>
        <v>100</v>
      </c>
      <c r="E33" s="26">
        <f>Assumptions!$C$25</f>
        <v>100</v>
      </c>
      <c r="F33" s="26">
        <f>Assumptions!$C$25</f>
        <v>100</v>
      </c>
      <c r="G33" s="26">
        <f>Assumptions!$C$25</f>
        <v>100</v>
      </c>
      <c r="H33" s="26">
        <f>Assumptions!$C$25</f>
        <v>100</v>
      </c>
      <c r="I33" s="26">
        <f>Assumptions!$C$25</f>
        <v>100</v>
      </c>
      <c r="J33" s="26">
        <f>Assumptions!$C$25</f>
        <v>100</v>
      </c>
      <c r="K33" s="26">
        <f>Assumptions!$C$25</f>
        <v>100</v>
      </c>
      <c r="L33" s="26">
        <f>Assumptions!$C$25</f>
        <v>100</v>
      </c>
    </row>
    <row r="34" spans="2:12" ht="15" customHeight="1" x14ac:dyDescent="0.25">
      <c r="B34" t="s">
        <v>833</v>
      </c>
      <c r="C34">
        <f ca="1">C30-Assumptions!$C$25</f>
        <v>10.078215995209575</v>
      </c>
      <c r="D34">
        <f ca="1">D30-Assumptions!$C$25</f>
        <v>42.344849209988809</v>
      </c>
      <c r="E34">
        <f ca="1">E30-Assumptions!$C$25</f>
        <v>138.21775725734415</v>
      </c>
      <c r="F34">
        <f ca="1">F30-Assumptions!$C$25</f>
        <v>141.21046833188407</v>
      </c>
      <c r="G34">
        <f ca="1">G30-Assumptions!$C$25</f>
        <v>370.74526213124705</v>
      </c>
      <c r="H34">
        <f ca="1">H30-Assumptions!$C$25</f>
        <v>906.71914859298909</v>
      </c>
      <c r="I34">
        <f ca="1">I30-Assumptions!$C$25</f>
        <v>1777.5539602162228</v>
      </c>
      <c r="J34">
        <f ca="1">J30-Assumptions!$C$25</f>
        <v>2784.3845180338853</v>
      </c>
      <c r="K34">
        <f ca="1">K30-Assumptions!$C$25</f>
        <v>4142.3707030793685</v>
      </c>
      <c r="L34">
        <f ca="1">L30-Assumptions!$C$25</f>
        <v>5803.2654760257619</v>
      </c>
    </row>
    <row r="35" spans="2:12" ht="27.75" customHeight="1" x14ac:dyDescent="0.25">
      <c r="B35" s="96" t="s">
        <v>834</v>
      </c>
      <c r="C35" s="97" t="str">
        <f ca="1">IF(C30&lt;Assumptions!$C$25,"BELOW MIN - RAISE/DRAW","OK")</f>
        <v>OK</v>
      </c>
      <c r="D35" s="96" t="str">
        <f ca="1">IF(D30&lt;Assumptions!$C$25,"BELOW MIN - RAISE/DRAW","OK")</f>
        <v>OK</v>
      </c>
      <c r="E35" s="96" t="str">
        <f ca="1">IF(E30&lt;Assumptions!$C$25,"BELOW MIN - RAISE/DRAW","OK")</f>
        <v>OK</v>
      </c>
      <c r="F35" s="96" t="str">
        <f ca="1">IF(F30&lt;Assumptions!$C$25,"BELOW MIN - RAISE/DRAW","OK")</f>
        <v>OK</v>
      </c>
      <c r="G35" s="96" t="str">
        <f ca="1">IF(G30&lt;Assumptions!$C$25,"BELOW MIN - RAISE/DRAW","OK")</f>
        <v>OK</v>
      </c>
      <c r="H35" s="96" t="str">
        <f ca="1">IF(H30&lt;Assumptions!$C$25,"BELOW MIN - RAISE/DRAW","OK")</f>
        <v>OK</v>
      </c>
      <c r="I35" s="96" t="str">
        <f ca="1">IF(I30&lt;Assumptions!$C$25,"BELOW MIN - RAISE/DRAW","OK")</f>
        <v>OK</v>
      </c>
      <c r="J35" s="96" t="str">
        <f ca="1">IF(J30&lt;Assumptions!$C$25,"BELOW MIN - RAISE/DRAW","OK")</f>
        <v>OK</v>
      </c>
      <c r="K35" s="96" t="str">
        <f ca="1">IF(K30&lt;Assumptions!$C$25,"BELOW MIN - RAISE/DRAW","OK")</f>
        <v>OK</v>
      </c>
      <c r="L35" s="96" t="str">
        <f ca="1">IF(L30&lt;Assumptions!$C$25,"BELOW MIN - RAISE/DRAW","OK")</f>
        <v>OK</v>
      </c>
    </row>
  </sheetData>
  <mergeCells count="5">
    <mergeCell ref="B2:M2"/>
    <mergeCell ref="B5:M5"/>
    <mergeCell ref="B16:M16"/>
    <mergeCell ref="B21:M21"/>
    <mergeCell ref="B26:M26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2:M40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8" sqref="C8"/>
    </sheetView>
  </sheetViews>
  <sheetFormatPr defaultColWidth="8.7109375" defaultRowHeight="15" x14ac:dyDescent="0.25"/>
  <cols>
    <col min="1" max="1" width="1.5703125" customWidth="1"/>
    <col min="2" max="2" width="42" customWidth="1"/>
    <col min="3" max="12" width="13" customWidth="1"/>
  </cols>
  <sheetData>
    <row r="2" spans="2:13" ht="24" customHeight="1" x14ac:dyDescent="0.25">
      <c r="B2" s="108" t="s">
        <v>835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</row>
    <row r="3" spans="2:13" ht="30" customHeight="1" x14ac:dyDescent="0.25">
      <c r="B3" s="128" t="s">
        <v>836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</row>
    <row r="4" spans="2:13" ht="15" customHeight="1" x14ac:dyDescent="0.25">
      <c r="B4" s="9" t="s">
        <v>778</v>
      </c>
      <c r="C4" s="10" t="s">
        <v>30</v>
      </c>
      <c r="D4" s="10" t="s">
        <v>25</v>
      </c>
      <c r="E4" s="10" t="s">
        <v>44</v>
      </c>
      <c r="F4" s="10" t="s">
        <v>39</v>
      </c>
      <c r="G4" s="10" t="s">
        <v>58</v>
      </c>
      <c r="H4" s="10" t="s">
        <v>59</v>
      </c>
      <c r="I4" s="10" t="s">
        <v>60</v>
      </c>
      <c r="J4" s="10" t="s">
        <v>61</v>
      </c>
      <c r="K4" s="10" t="s">
        <v>62</v>
      </c>
      <c r="L4" s="10" t="s">
        <v>63</v>
      </c>
    </row>
    <row r="5" spans="2:13" ht="21.75" customHeight="1" x14ac:dyDescent="0.25">
      <c r="B5" s="110" t="s">
        <v>837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</row>
    <row r="6" spans="2:13" ht="15" customHeight="1" x14ac:dyDescent="0.25">
      <c r="B6" s="2" t="s">
        <v>838</v>
      </c>
      <c r="C6" s="14">
        <f ca="1">CashFlow!C30</f>
        <v>110.07821599520958</v>
      </c>
      <c r="D6" s="14">
        <f ca="1">CashFlow!D30</f>
        <v>142.34484920998881</v>
      </c>
      <c r="E6" s="14">
        <f ca="1">CashFlow!E30</f>
        <v>238.21775725734415</v>
      </c>
      <c r="F6" s="14">
        <f ca="1">CashFlow!F30</f>
        <v>241.21046833188407</v>
      </c>
      <c r="G6" s="14">
        <f ca="1">CashFlow!G30</f>
        <v>470.74526213124705</v>
      </c>
      <c r="H6" s="14">
        <f ca="1">CashFlow!H30</f>
        <v>1006.7191485929891</v>
      </c>
      <c r="I6" s="14">
        <f ca="1">CashFlow!I30</f>
        <v>1877.5539602162228</v>
      </c>
      <c r="J6" s="14">
        <f ca="1">CashFlow!J30</f>
        <v>2884.3845180338853</v>
      </c>
      <c r="K6" s="14">
        <f ca="1">CashFlow!K30</f>
        <v>4242.3707030793685</v>
      </c>
      <c r="L6" s="14">
        <f ca="1">CashFlow!L30</f>
        <v>5903.2654760257619</v>
      </c>
    </row>
    <row r="7" spans="2:13" ht="15" customHeight="1" x14ac:dyDescent="0.25">
      <c r="B7" s="2" t="s">
        <v>76</v>
      </c>
      <c r="C7" s="14">
        <f>Backlog!D63</f>
        <v>7.6509900000000002</v>
      </c>
      <c r="D7" s="14">
        <f>Backlog!E63</f>
        <v>20.300722199999996</v>
      </c>
      <c r="E7" s="14">
        <f>Backlog!F63</f>
        <v>38.334047274</v>
      </c>
      <c r="F7" s="14">
        <f>Backlog!G63</f>
        <v>68.285290865579995</v>
      </c>
      <c r="G7" s="14">
        <f>Backlog!H63</f>
        <v>105.9893288659386</v>
      </c>
      <c r="H7" s="14">
        <f>Backlog!I63</f>
        <v>143.59793835567885</v>
      </c>
      <c r="I7" s="14">
        <f>Backlog!J63</f>
        <v>185.37943363092984</v>
      </c>
      <c r="J7" s="14">
        <f>Backlog!K63</f>
        <v>225.30466195019173</v>
      </c>
      <c r="K7" s="14">
        <f>Backlog!L63</f>
        <v>263.17484832072995</v>
      </c>
      <c r="L7" s="14">
        <f>Backlog!M63</f>
        <v>300.23537483096527</v>
      </c>
    </row>
    <row r="8" spans="2:13" ht="15" customHeight="1" x14ac:dyDescent="0.25">
      <c r="B8" s="2" t="s">
        <v>839</v>
      </c>
      <c r="C8" s="14">
        <f>CashFlow!C8</f>
        <v>25.890410958904109</v>
      </c>
      <c r="D8" s="14">
        <f>CashFlow!D8</f>
        <v>100.31054794520547</v>
      </c>
      <c r="E8" s="14">
        <f>CashFlow!E8</f>
        <v>242.14951578082187</v>
      </c>
      <c r="F8" s="14">
        <f>CashFlow!F8</f>
        <v>421.74420297041092</v>
      </c>
      <c r="G8" s="14">
        <f>CashFlow!G8</f>
        <v>713.93509588058612</v>
      </c>
      <c r="H8" s="14">
        <f>CashFlow!H8</f>
        <v>1075.180638637253</v>
      </c>
      <c r="I8" s="14">
        <f>CashFlow!I8</f>
        <v>1422.1707376643569</v>
      </c>
      <c r="J8" s="14">
        <f>CashFlow!J8</f>
        <v>1804.6079802941945</v>
      </c>
      <c r="K8" s="14">
        <f>CashFlow!K8</f>
        <v>2160.3244227249784</v>
      </c>
      <c r="L8" s="14">
        <f>CashFlow!L8</f>
        <v>2493.0345010894448</v>
      </c>
    </row>
    <row r="9" spans="2:13" ht="15" customHeight="1" x14ac:dyDescent="0.25">
      <c r="B9" s="2" t="s">
        <v>840</v>
      </c>
      <c r="C9" s="14">
        <f>CashFlow!C9</f>
        <v>6.2848068247067506</v>
      </c>
      <c r="D9" s="14">
        <f>CashFlow!D9</f>
        <v>21.125942356669615</v>
      </c>
      <c r="E9" s="14">
        <f>CashFlow!E9</f>
        <v>44.272158107097724</v>
      </c>
      <c r="F9" s="14">
        <f>CashFlow!F9</f>
        <v>79.383680465429933</v>
      </c>
      <c r="G9" s="14">
        <f>CashFlow!G9</f>
        <v>130.42255258975695</v>
      </c>
      <c r="H9" s="14">
        <f>CashFlow!H9</f>
        <v>190.22257337488418</v>
      </c>
      <c r="I9" s="14">
        <f>CashFlow!I9</f>
        <v>246.18441403784476</v>
      </c>
      <c r="J9" s="14">
        <f>CashFlow!J9</f>
        <v>307.88618707896728</v>
      </c>
      <c r="K9" s="14">
        <f>CashFlow!K9</f>
        <v>363.72095212897898</v>
      </c>
      <c r="L9" s="14">
        <f>CashFlow!L9</f>
        <v>413.74652642773253</v>
      </c>
    </row>
    <row r="10" spans="2:13" ht="15" customHeight="1" x14ac:dyDescent="0.25">
      <c r="B10" s="41" t="s">
        <v>841</v>
      </c>
      <c r="C10" s="43">
        <f t="shared" ref="C10:L10" ca="1" si="0">C6+C7+C8+C9</f>
        <v>149.90442377882044</v>
      </c>
      <c r="D10" s="43">
        <f t="shared" ca="1" si="0"/>
        <v>284.0820617118639</v>
      </c>
      <c r="E10" s="43">
        <f t="shared" ca="1" si="0"/>
        <v>562.97347841926376</v>
      </c>
      <c r="F10" s="43">
        <f t="shared" ca="1" si="0"/>
        <v>810.62364263330494</v>
      </c>
      <c r="G10" s="43">
        <f t="shared" ca="1" si="0"/>
        <v>1421.0922394675285</v>
      </c>
      <c r="H10" s="43">
        <f t="shared" ca="1" si="0"/>
        <v>2415.7202989608054</v>
      </c>
      <c r="I10" s="43">
        <f t="shared" ca="1" si="0"/>
        <v>3731.2885455493547</v>
      </c>
      <c r="J10" s="43">
        <f t="shared" ca="1" si="0"/>
        <v>5222.1833473572378</v>
      </c>
      <c r="K10" s="43">
        <f t="shared" ca="1" si="0"/>
        <v>7029.5909262540554</v>
      </c>
      <c r="L10" s="43">
        <f t="shared" ca="1" si="0"/>
        <v>9110.281878373904</v>
      </c>
    </row>
    <row r="11" spans="2:13" ht="15" customHeight="1" x14ac:dyDescent="0.25">
      <c r="B11" t="s">
        <v>842</v>
      </c>
      <c r="C11">
        <f ca="1">'P&amp;L'!C38</f>
        <v>0</v>
      </c>
      <c r="D11">
        <f ca="1">'P&amp;L'!D38</f>
        <v>0</v>
      </c>
      <c r="E11">
        <f ca="1">'P&amp;L'!E38</f>
        <v>0</v>
      </c>
      <c r="F11">
        <f ca="1">'P&amp;L'!F38</f>
        <v>14.923212900889721</v>
      </c>
      <c r="G11">
        <f ca="1">'P&amp;L'!G38</f>
        <v>74.942378666860407</v>
      </c>
      <c r="H11">
        <f ca="1">'P&amp;L'!H38</f>
        <v>89.810593916285242</v>
      </c>
      <c r="I11">
        <f ca="1">'P&amp;L'!I38</f>
        <v>0</v>
      </c>
      <c r="J11">
        <f ca="1">'P&amp;L'!J38</f>
        <v>0</v>
      </c>
      <c r="K11">
        <f ca="1">'P&amp;L'!K38</f>
        <v>0</v>
      </c>
      <c r="L11">
        <f ca="1">'P&amp;L'!L38</f>
        <v>0</v>
      </c>
    </row>
    <row r="12" spans="2:13" ht="15" customHeight="1" x14ac:dyDescent="0.25">
      <c r="B12" s="78" t="s">
        <v>843</v>
      </c>
      <c r="C12" s="14">
        <f>Capex!D21</f>
        <v>35.450000000000003</v>
      </c>
      <c r="D12" s="14">
        <f>C12+Capex!E21</f>
        <v>102.675</v>
      </c>
      <c r="E12" s="14">
        <f>D12+Capex!F21</f>
        <v>220.82499999999999</v>
      </c>
      <c r="F12" s="14">
        <f>E12+Capex!G21</f>
        <v>356.52499999999998</v>
      </c>
      <c r="G12" s="14">
        <f>F12+Capex!H21</f>
        <v>450.9</v>
      </c>
      <c r="H12" s="14">
        <f>G12+Capex!I21</f>
        <v>498</v>
      </c>
      <c r="I12" s="14">
        <f>H12+Capex!J21</f>
        <v>517.95000000000005</v>
      </c>
      <c r="J12" s="14">
        <f>I12+Capex!K21</f>
        <v>547.40000000000009</v>
      </c>
      <c r="K12" s="14">
        <f>J12+Capex!L21</f>
        <v>577.32500000000005</v>
      </c>
      <c r="L12" s="14">
        <f>K12+Capex!M21</f>
        <v>600.125</v>
      </c>
    </row>
    <row r="13" spans="2:13" ht="15" customHeight="1" x14ac:dyDescent="0.25">
      <c r="B13" s="78" t="s">
        <v>844</v>
      </c>
      <c r="C13" s="14">
        <f>Capex!D39</f>
        <v>5.3970238095238106</v>
      </c>
      <c r="D13" s="14">
        <f>C13+Capex!E39</f>
        <v>19.511428571428574</v>
      </c>
      <c r="E13" s="14">
        <f>D13+Capex!F39</f>
        <v>46.244642857142864</v>
      </c>
      <c r="F13" s="14">
        <f>E13+Capex!G39</f>
        <v>84.912142857142868</v>
      </c>
      <c r="G13" s="14">
        <f>F13+Capex!H39</f>
        <v>131.27738095238095</v>
      </c>
      <c r="H13" s="14">
        <f>G13+Capex!I39</f>
        <v>180.88785714285714</v>
      </c>
      <c r="I13" s="14">
        <f>H13+Capex!J39</f>
        <v>229.61166666666668</v>
      </c>
      <c r="J13" s="14">
        <f>I13+Capex!K39</f>
        <v>276.8747619047619</v>
      </c>
      <c r="K13" s="14">
        <f>J13+Capex!L39</f>
        <v>322.95583333333332</v>
      </c>
      <c r="L13" s="14">
        <f>K13+Capex!M39</f>
        <v>367.06023809523811</v>
      </c>
    </row>
    <row r="14" spans="2:13" ht="15" customHeight="1" x14ac:dyDescent="0.25">
      <c r="B14" s="2" t="s">
        <v>845</v>
      </c>
      <c r="C14" s="14">
        <f t="shared" ref="C14:L14" si="1">C12-C13</f>
        <v>30.052976190476194</v>
      </c>
      <c r="D14" s="14">
        <f t="shared" si="1"/>
        <v>83.16357142857143</v>
      </c>
      <c r="E14" s="14">
        <f t="shared" si="1"/>
        <v>174.58035714285711</v>
      </c>
      <c r="F14" s="14">
        <f t="shared" si="1"/>
        <v>271.61285714285714</v>
      </c>
      <c r="G14" s="14">
        <f t="shared" si="1"/>
        <v>319.62261904761903</v>
      </c>
      <c r="H14" s="14">
        <f t="shared" si="1"/>
        <v>317.11214285714289</v>
      </c>
      <c r="I14" s="14">
        <f t="shared" si="1"/>
        <v>288.33833333333337</v>
      </c>
      <c r="J14" s="14">
        <f t="shared" si="1"/>
        <v>270.52523809523819</v>
      </c>
      <c r="K14" s="14">
        <f t="shared" si="1"/>
        <v>254.36916666666673</v>
      </c>
      <c r="L14" s="14">
        <f t="shared" si="1"/>
        <v>233.06476190476189</v>
      </c>
    </row>
    <row r="15" spans="2:13" ht="15" customHeight="1" x14ac:dyDescent="0.25">
      <c r="B15" t="s">
        <v>846</v>
      </c>
      <c r="C15">
        <f ca="1">'R&amp;D_NRE'!D16-'R&amp;D_NRE'!D18</f>
        <v>21.875</v>
      </c>
      <c r="D15">
        <f ca="1">C15+'R&amp;D_NRE'!E16-'R&amp;D_NRE'!E18</f>
        <v>91.708333333333343</v>
      </c>
      <c r="E15">
        <f ca="1">D15+'R&amp;D_NRE'!F16-'R&amp;D_NRE'!F18</f>
        <v>121.83333333333334</v>
      </c>
      <c r="F15">
        <f ca="1">E15+'R&amp;D_NRE'!G16-'R&amp;D_NRE'!G18</f>
        <v>128.86500000000001</v>
      </c>
      <c r="G15">
        <f ca="1">F15+'R&amp;D_NRE'!H16-'R&amp;D_NRE'!H18</f>
        <v>114.215</v>
      </c>
      <c r="H15">
        <f ca="1">G15+'R&amp;D_NRE'!I16-'R&amp;D_NRE'!I18</f>
        <v>85.766666666666652</v>
      </c>
      <c r="I15">
        <f ca="1">H15+'R&amp;D_NRE'!J16-'R&amp;D_NRE'!J18</f>
        <v>54.034166666666643</v>
      </c>
      <c r="J15">
        <f ca="1">I15+'R&amp;D_NRE'!K16-'R&amp;D_NRE'!K18</f>
        <v>34.037499999999966</v>
      </c>
      <c r="K15">
        <f ca="1">J15+'R&amp;D_NRE'!L16-'R&amp;D_NRE'!L18</f>
        <v>21.919833333333298</v>
      </c>
      <c r="L15">
        <f ca="1">K15+'R&amp;D_NRE'!M16-'R&amp;D_NRE'!M18</f>
        <v>13.731999999999966</v>
      </c>
    </row>
    <row r="16" spans="2:13" ht="15" customHeight="1" x14ac:dyDescent="0.25">
      <c r="B16" s="65" t="s">
        <v>847</v>
      </c>
      <c r="C16" s="66">
        <f t="shared" ref="C16:L16" ca="1" si="2">C10+C11+C14+C15</f>
        <v>201.83239996929663</v>
      </c>
      <c r="D16" s="66">
        <f t="shared" ca="1" si="2"/>
        <v>458.95396647376867</v>
      </c>
      <c r="E16" s="66">
        <f t="shared" ca="1" si="2"/>
        <v>859.38716889545424</v>
      </c>
      <c r="F16" s="66">
        <f t="shared" ca="1" si="2"/>
        <v>1226.0247126770516</v>
      </c>
      <c r="G16" s="66">
        <f t="shared" ca="1" si="2"/>
        <v>1929.8722371820079</v>
      </c>
      <c r="H16" s="66">
        <f t="shared" ca="1" si="2"/>
        <v>2908.4097024008997</v>
      </c>
      <c r="I16" s="66">
        <f t="shared" ca="1" si="2"/>
        <v>4073.6610455493551</v>
      </c>
      <c r="J16" s="66">
        <f t="shared" ca="1" si="2"/>
        <v>5526.7460854524761</v>
      </c>
      <c r="K16" s="66">
        <f t="shared" ca="1" si="2"/>
        <v>7305.8799262540551</v>
      </c>
      <c r="L16" s="66">
        <f t="shared" ca="1" si="2"/>
        <v>9357.0786402786653</v>
      </c>
    </row>
    <row r="18" spans="2:13" ht="21.75" customHeight="1" x14ac:dyDescent="0.25">
      <c r="B18" s="110" t="s">
        <v>848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</row>
    <row r="19" spans="2:13" ht="15" customHeight="1" x14ac:dyDescent="0.25">
      <c r="B19" s="2" t="s">
        <v>849</v>
      </c>
      <c r="C19" s="14">
        <f>CashFlow!C10</f>
        <v>3.1424034123533753</v>
      </c>
      <c r="D19" s="14">
        <f>CashFlow!D10</f>
        <v>10.562971178334807</v>
      </c>
      <c r="E19" s="14">
        <f>CashFlow!E10</f>
        <v>22.136079053548862</v>
      </c>
      <c r="F19" s="14">
        <f>CashFlow!F10</f>
        <v>39.691840232714966</v>
      </c>
      <c r="G19" s="14">
        <f>CashFlow!G10</f>
        <v>65.211276294878473</v>
      </c>
      <c r="H19" s="14">
        <f>CashFlow!H10</f>
        <v>95.111286687442089</v>
      </c>
      <c r="I19" s="14">
        <f>CashFlow!I10</f>
        <v>123.09220701892238</v>
      </c>
      <c r="J19" s="14">
        <f>CashFlow!J10</f>
        <v>153.94309353948364</v>
      </c>
      <c r="K19" s="14">
        <f>CashFlow!K10</f>
        <v>181.86047606448949</v>
      </c>
      <c r="L19" s="14">
        <f>CashFlow!L10</f>
        <v>206.87326321386627</v>
      </c>
    </row>
    <row r="20" spans="2:13" ht="15" customHeight="1" x14ac:dyDescent="0.25">
      <c r="B20" s="2" t="s">
        <v>850</v>
      </c>
      <c r="C20" s="14">
        <f>Backlog!D56</f>
        <v>63.758250000000004</v>
      </c>
      <c r="D20" s="14">
        <f>Backlog!E56</f>
        <v>169.17268499999997</v>
      </c>
      <c r="E20" s="14">
        <f>Backlog!F56</f>
        <v>319.45039394999998</v>
      </c>
      <c r="F20" s="14">
        <f>Backlog!G56</f>
        <v>569.0440905465</v>
      </c>
      <c r="G20" s="14">
        <f>Backlog!H56</f>
        <v>883.24440721615485</v>
      </c>
      <c r="H20" s="14">
        <f>Backlog!I56</f>
        <v>1196.6494862973236</v>
      </c>
      <c r="I20" s="14">
        <f>Backlog!J56</f>
        <v>1544.8286135910816</v>
      </c>
      <c r="J20" s="14">
        <f>Backlog!K56</f>
        <v>1877.5388495849311</v>
      </c>
      <c r="K20" s="14">
        <f>Backlog!L56</f>
        <v>2193.1237360060832</v>
      </c>
      <c r="L20" s="14">
        <f>Backlog!M56</f>
        <v>2501.9614569247105</v>
      </c>
    </row>
    <row r="21" spans="2:13" ht="15" customHeight="1" x14ac:dyDescent="0.25">
      <c r="B21" s="2" t="s">
        <v>851</v>
      </c>
      <c r="C21" s="14">
        <f>Funding!D16</f>
        <v>20</v>
      </c>
      <c r="D21" s="14">
        <f>Funding!E16</f>
        <v>120</v>
      </c>
      <c r="E21" s="14">
        <f>Funding!F16</f>
        <v>200</v>
      </c>
      <c r="F21" s="14">
        <f>Funding!G16</f>
        <v>200</v>
      </c>
      <c r="G21" s="14">
        <f>Funding!H16</f>
        <v>164</v>
      </c>
      <c r="H21" s="14">
        <f>Funding!I16</f>
        <v>128</v>
      </c>
      <c r="I21" s="14">
        <f>Funding!J16</f>
        <v>73</v>
      </c>
      <c r="J21" s="14">
        <f>Funding!K16</f>
        <v>8</v>
      </c>
      <c r="K21" s="14">
        <f>Funding!L16</f>
        <v>0</v>
      </c>
      <c r="L21" s="14">
        <f>Funding!M16</f>
        <v>0</v>
      </c>
    </row>
    <row r="22" spans="2:13" ht="15" customHeight="1" x14ac:dyDescent="0.25">
      <c r="B22" s="41" t="s">
        <v>852</v>
      </c>
      <c r="C22" s="43">
        <f t="shared" ref="C22:L22" si="3">C19+C20+C21</f>
        <v>86.900653412353378</v>
      </c>
      <c r="D22" s="43">
        <f t="shared" si="3"/>
        <v>299.73565617833481</v>
      </c>
      <c r="E22" s="43">
        <f t="shared" si="3"/>
        <v>541.58647300354892</v>
      </c>
      <c r="F22" s="43">
        <f t="shared" si="3"/>
        <v>808.73593077921498</v>
      </c>
      <c r="G22" s="43">
        <f t="shared" si="3"/>
        <v>1112.4556835110334</v>
      </c>
      <c r="H22" s="43">
        <f t="shared" si="3"/>
        <v>1419.7607729847657</v>
      </c>
      <c r="I22" s="43">
        <f t="shared" si="3"/>
        <v>1740.9208206100041</v>
      </c>
      <c r="J22" s="43">
        <f t="shared" si="3"/>
        <v>2039.4819431244148</v>
      </c>
      <c r="K22" s="43">
        <f t="shared" si="3"/>
        <v>2374.9842120705725</v>
      </c>
      <c r="L22" s="43">
        <f t="shared" si="3"/>
        <v>2708.8347201385768</v>
      </c>
    </row>
    <row r="24" spans="2:13" ht="21.75" customHeight="1" x14ac:dyDescent="0.25">
      <c r="B24" s="110" t="s">
        <v>853</v>
      </c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</row>
    <row r="25" spans="2:13" ht="15" customHeight="1" x14ac:dyDescent="0.25">
      <c r="B25" s="2" t="s">
        <v>854</v>
      </c>
      <c r="C25" s="14">
        <f>Funding!D9</f>
        <v>450</v>
      </c>
      <c r="D25" s="14">
        <f>C25+Funding!E9</f>
        <v>850</v>
      </c>
      <c r="E25" s="14">
        <f>D25+Funding!F9</f>
        <v>1100</v>
      </c>
      <c r="F25" s="14">
        <f>E25+Funding!G9</f>
        <v>1100</v>
      </c>
      <c r="G25" s="14">
        <f>F25+Funding!H9</f>
        <v>1100</v>
      </c>
      <c r="H25" s="14">
        <f>G25+Funding!I9</f>
        <v>1100</v>
      </c>
      <c r="I25" s="14">
        <f>H25+Funding!J9</f>
        <v>1100</v>
      </c>
      <c r="J25" s="14">
        <f>I25+Funding!K9</f>
        <v>1100</v>
      </c>
      <c r="K25" s="14">
        <f>J25+Funding!L9</f>
        <v>1100</v>
      </c>
      <c r="L25" s="14">
        <f>K25+Funding!M9</f>
        <v>1100</v>
      </c>
    </row>
    <row r="26" spans="2:13" ht="15" customHeight="1" x14ac:dyDescent="0.25">
      <c r="B26" s="2" t="s">
        <v>855</v>
      </c>
      <c r="C26" s="14">
        <f ca="1">'P&amp;L'!C24</f>
        <v>-335.06825344305679</v>
      </c>
      <c r="D26" s="14">
        <f ca="1">C26+'P&amp;L'!D24</f>
        <v>-690.78168970456613</v>
      </c>
      <c r="E26" s="14">
        <f ca="1">D26+'P&amp;L'!E24</f>
        <v>-782.19930410809468</v>
      </c>
      <c r="F26" s="14">
        <f ca="1">E26+'P&amp;L'!F24</f>
        <v>-682.71121810216323</v>
      </c>
      <c r="G26" s="14">
        <f ca="1">F26+'P&amp;L'!G24</f>
        <v>-282.58344632902532</v>
      </c>
      <c r="H26" s="14">
        <f ca="1">G26+'P&amp;L'!H24</f>
        <v>388.64892941613385</v>
      </c>
      <c r="I26" s="14">
        <f ca="1">H26+'P&amp;L'!I24</f>
        <v>1232.7402249393499</v>
      </c>
      <c r="J26" s="14">
        <f ca="1">I26+'P&amp;L'!J24</f>
        <v>2387.264142328062</v>
      </c>
      <c r="K26" s="14">
        <f ca="1">J26+'P&amp;L'!K24</f>
        <v>3830.8957141834835</v>
      </c>
      <c r="L26" s="14">
        <f ca="1">K26+'P&amp;L'!L24</f>
        <v>5548.2439201400903</v>
      </c>
    </row>
    <row r="27" spans="2:13" ht="15" customHeight="1" x14ac:dyDescent="0.25">
      <c r="B27" s="41" t="s">
        <v>856</v>
      </c>
      <c r="C27" s="43">
        <f t="shared" ref="C27:L27" ca="1" si="4">C25+C26</f>
        <v>114.93174655694321</v>
      </c>
      <c r="D27" s="43">
        <f t="shared" ca="1" si="4"/>
        <v>159.21831029543387</v>
      </c>
      <c r="E27" s="43">
        <f t="shared" ca="1" si="4"/>
        <v>317.80069589190532</v>
      </c>
      <c r="F27" s="43">
        <f t="shared" ca="1" si="4"/>
        <v>417.28878189783677</v>
      </c>
      <c r="G27" s="43">
        <f t="shared" ca="1" si="4"/>
        <v>817.41655367097474</v>
      </c>
      <c r="H27" s="43">
        <f t="shared" ca="1" si="4"/>
        <v>1488.6489294161338</v>
      </c>
      <c r="I27" s="43">
        <f t="shared" ca="1" si="4"/>
        <v>2332.7402249393499</v>
      </c>
      <c r="J27" s="43">
        <f t="shared" ca="1" si="4"/>
        <v>3487.264142328062</v>
      </c>
      <c r="K27" s="43">
        <f t="shared" ca="1" si="4"/>
        <v>4930.8957141834835</v>
      </c>
      <c r="L27" s="43">
        <f t="shared" ca="1" si="4"/>
        <v>6648.2439201400903</v>
      </c>
    </row>
    <row r="29" spans="2:13" ht="15" customHeight="1" x14ac:dyDescent="0.25">
      <c r="B29" s="65" t="s">
        <v>857</v>
      </c>
      <c r="C29" s="66">
        <f t="shared" ref="C29:L29" ca="1" si="5">C22+C27</f>
        <v>201.8323999692966</v>
      </c>
      <c r="D29" s="66">
        <f t="shared" ca="1" si="5"/>
        <v>458.95396647376867</v>
      </c>
      <c r="E29" s="66">
        <f t="shared" ca="1" si="5"/>
        <v>859.38716889545424</v>
      </c>
      <c r="F29" s="66">
        <f t="shared" ca="1" si="5"/>
        <v>1226.0247126770519</v>
      </c>
      <c r="G29" s="66">
        <f t="shared" ca="1" si="5"/>
        <v>1929.8722371820081</v>
      </c>
      <c r="H29" s="66">
        <f t="shared" ca="1" si="5"/>
        <v>2908.4097024008997</v>
      </c>
      <c r="I29" s="66">
        <f t="shared" ca="1" si="5"/>
        <v>4073.6610455493537</v>
      </c>
      <c r="J29" s="66">
        <f t="shared" ca="1" si="5"/>
        <v>5526.746085452477</v>
      </c>
      <c r="K29" s="66">
        <f t="shared" ca="1" si="5"/>
        <v>7305.879926254056</v>
      </c>
      <c r="L29" s="66">
        <f t="shared" ca="1" si="5"/>
        <v>9357.0786402786671</v>
      </c>
    </row>
    <row r="31" spans="2:13" ht="21.75" customHeight="1" x14ac:dyDescent="0.25">
      <c r="B31" s="110" t="s">
        <v>858</v>
      </c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</row>
    <row r="32" spans="2:13" ht="15" customHeight="1" x14ac:dyDescent="0.25">
      <c r="B32" s="2" t="s">
        <v>859</v>
      </c>
      <c r="C32" s="14">
        <f t="shared" ref="C32:L32" ca="1" si="6">C16-C29</f>
        <v>0</v>
      </c>
      <c r="D32" s="14">
        <f t="shared" ca="1" si="6"/>
        <v>0</v>
      </c>
      <c r="E32" s="14">
        <f t="shared" ca="1" si="6"/>
        <v>0</v>
      </c>
      <c r="F32" s="14">
        <f t="shared" ca="1" si="6"/>
        <v>0</v>
      </c>
      <c r="G32" s="14">
        <f t="shared" ca="1" si="6"/>
        <v>0</v>
      </c>
      <c r="H32" s="14">
        <f t="shared" ca="1" si="6"/>
        <v>0</v>
      </c>
      <c r="I32" s="14">
        <f t="shared" ca="1" si="6"/>
        <v>0</v>
      </c>
      <c r="J32" s="14">
        <f t="shared" ca="1" si="6"/>
        <v>0</v>
      </c>
      <c r="K32" s="14">
        <f t="shared" ca="1" si="6"/>
        <v>0</v>
      </c>
      <c r="L32" s="14">
        <f t="shared" ca="1" si="6"/>
        <v>0</v>
      </c>
    </row>
    <row r="33" spans="2:12" ht="23.25" customHeight="1" x14ac:dyDescent="0.25">
      <c r="B33" s="11" t="s">
        <v>860</v>
      </c>
      <c r="C33" s="16">
        <f t="shared" ref="C33:L33" ca="1" si="7">IFERROR(C10/(C19+C20),0)</f>
        <v>2.2407019383631344</v>
      </c>
      <c r="D33" s="16">
        <f t="shared" ca="1" si="7"/>
        <v>1.5805548423290925</v>
      </c>
      <c r="E33" s="16">
        <f t="shared" ca="1" si="7"/>
        <v>1.6481140879762379</v>
      </c>
      <c r="F33" s="16">
        <f t="shared" ca="1" si="7"/>
        <v>1.331650723484751</v>
      </c>
      <c r="G33" s="16">
        <f t="shared" ca="1" si="7"/>
        <v>1.498322234948152</v>
      </c>
      <c r="H33" s="16">
        <f t="shared" ca="1" si="7"/>
        <v>1.8700988213003238</v>
      </c>
      <c r="I33" s="16">
        <f t="shared" ca="1" si="7"/>
        <v>2.2370897343824274</v>
      </c>
      <c r="J33" s="16">
        <f t="shared" ca="1" si="7"/>
        <v>2.5706274993148752</v>
      </c>
      <c r="K33" s="16">
        <f t="shared" ca="1" si="7"/>
        <v>2.9598474341542995</v>
      </c>
      <c r="L33" s="16">
        <f t="shared" ca="1" si="7"/>
        <v>3.3631737701249804</v>
      </c>
    </row>
    <row r="34" spans="2:12" ht="15" customHeight="1" x14ac:dyDescent="0.25">
      <c r="B34" s="11" t="s">
        <v>861</v>
      </c>
      <c r="C34" s="16">
        <f t="shared" ref="C34:L34" ca="1" si="8">IFERROR(C21/C27,0)</f>
        <v>0.1740163235933333</v>
      </c>
      <c r="D34" s="16">
        <f t="shared" ca="1" si="8"/>
        <v>0.75368215990570908</v>
      </c>
      <c r="E34" s="16">
        <f t="shared" ca="1" si="8"/>
        <v>0.62932524247217736</v>
      </c>
      <c r="F34" s="16">
        <f t="shared" ca="1" si="8"/>
        <v>0.47928439171164983</v>
      </c>
      <c r="G34" s="16">
        <f t="shared" ca="1" si="8"/>
        <v>0.20063210032080295</v>
      </c>
      <c r="H34" s="16">
        <f t="shared" ca="1" si="8"/>
        <v>8.5984007021859182E-2</v>
      </c>
      <c r="I34" s="16">
        <f t="shared" ca="1" si="8"/>
        <v>3.1293668801847821E-2</v>
      </c>
      <c r="J34" s="16">
        <f t="shared" ca="1" si="8"/>
        <v>2.2940619561612218E-3</v>
      </c>
      <c r="K34" s="16">
        <f t="shared" ca="1" si="8"/>
        <v>0</v>
      </c>
      <c r="L34" s="16">
        <f t="shared" ca="1" si="8"/>
        <v>0</v>
      </c>
    </row>
    <row r="35" spans="2:12" ht="15" customHeight="1" x14ac:dyDescent="0.25">
      <c r="B35" s="11" t="s">
        <v>862</v>
      </c>
      <c r="C35" s="13">
        <f ca="1">IFERROR('P&amp;L'!C20*(1-Assumptions!$C$6)/(C21+C27),0)</f>
        <v>-1.8579852145950913</v>
      </c>
      <c r="D35" s="13">
        <f ca="1">IFERROR('P&amp;L'!D20*(1-Assumptions!$C$6)/(D21+D27),0)</f>
        <v>-0.940429289606034</v>
      </c>
      <c r="E35" s="13">
        <f ca="1">IFERROR('P&amp;L'!E20*(1-Assumptions!$C$6)/(E21+E27),0)</f>
        <v>-0.1138724054842819</v>
      </c>
      <c r="F35" s="13">
        <f ca="1">IFERROR('P&amp;L'!F20*(1-Assumptions!$C$6)/(F21+F27),0)</f>
        <v>0.14031692628229853</v>
      </c>
      <c r="G35" s="13">
        <f ca="1">IFERROR('P&amp;L'!G20*(1-Assumptions!$C$6)/(G21+G27),0)</f>
        <v>0.31690501618961198</v>
      </c>
      <c r="H35" s="13">
        <f ca="1">IFERROR('P&amp;L'!H20*(1-Assumptions!$C$6)/(H21+H27),0)</f>
        <v>0.36365647284259972</v>
      </c>
      <c r="I35" s="13">
        <f ca="1">IFERROR('P&amp;L'!I20*(1-Assumptions!$C$6)/(I21+I27),0)</f>
        <v>0.35666960697921912</v>
      </c>
      <c r="J35" s="13">
        <f ca="1">IFERROR('P&amp;L'!J20*(1-Assumptions!$C$6)/(J21+J27),0)</f>
        <v>0.33243641588742606</v>
      </c>
      <c r="K35" s="13">
        <f ca="1">IFERROR('P&amp;L'!K20*(1-Assumptions!$C$6)/(K21+K27),0)</f>
        <v>0.29343573102958698</v>
      </c>
      <c r="L35" s="13">
        <f ca="1">IFERROR('P&amp;L'!L20*(1-Assumptions!$C$6)/(L21+L27),0)</f>
        <v>0.25862395919037051</v>
      </c>
    </row>
    <row r="36" spans="2:12" ht="46.5" customHeight="1" x14ac:dyDescent="0.25">
      <c r="B36" s="98" t="s">
        <v>863</v>
      </c>
      <c r="C36" s="99">
        <f>Assumptions!$C$11+Assumptions!$C$13-Assumptions!$C$12</f>
        <v>225</v>
      </c>
      <c r="D36" s="99">
        <f>Assumptions!$C$11+Assumptions!$C$13-Assumptions!$C$12</f>
        <v>225</v>
      </c>
      <c r="E36" s="99">
        <f>Assumptions!$C$11+Assumptions!$C$13-Assumptions!$C$12</f>
        <v>225</v>
      </c>
      <c r="F36" s="99">
        <f>Assumptions!$C$11+Assumptions!$C$13-Assumptions!$C$12</f>
        <v>225</v>
      </c>
      <c r="G36" s="99">
        <f>Assumptions!$C$11+Assumptions!$C$13-Assumptions!$C$12</f>
        <v>225</v>
      </c>
      <c r="H36" s="99">
        <f>Assumptions!$C$11+Assumptions!$C$13-Assumptions!$C$12</f>
        <v>225</v>
      </c>
      <c r="I36" s="99">
        <f>Assumptions!$C$11+Assumptions!$C$13-Assumptions!$C$12</f>
        <v>225</v>
      </c>
      <c r="J36" s="99">
        <f>Assumptions!$C$11+Assumptions!$C$13-Assumptions!$C$12</f>
        <v>225</v>
      </c>
      <c r="K36" s="99">
        <f>Assumptions!$C$11+Assumptions!$C$13-Assumptions!$C$12</f>
        <v>225</v>
      </c>
      <c r="L36" s="99">
        <f>Assumptions!$C$11+Assumptions!$C$13-Assumptions!$C$12</f>
        <v>225</v>
      </c>
    </row>
    <row r="37" spans="2:12" ht="15" customHeight="1" x14ac:dyDescent="0.25">
      <c r="B37" t="s">
        <v>864</v>
      </c>
      <c r="C37" s="92">
        <f>'R&amp;D_NRE'!D16</f>
        <v>26.25</v>
      </c>
      <c r="D37">
        <f>C37+'R&amp;D_NRE'!E16</f>
        <v>115.30000000000001</v>
      </c>
      <c r="E37">
        <f>D37+'R&amp;D_NRE'!F16</f>
        <v>174.51000000000002</v>
      </c>
      <c r="F37">
        <f>E37+'R&amp;D_NRE'!G16</f>
        <v>217.85000000000002</v>
      </c>
      <c r="G37">
        <f>F37+'R&amp;D_NRE'!H16</f>
        <v>243.84000000000003</v>
      </c>
      <c r="H37">
        <f>G37+'R&amp;D_NRE'!I16</f>
        <v>258.47000000000003</v>
      </c>
      <c r="I37">
        <f>H37+'R&amp;D_NRE'!J16</f>
        <v>266.83500000000004</v>
      </c>
      <c r="J37">
        <f>I37+'R&amp;D_NRE'!K16</f>
        <v>273.14600000000002</v>
      </c>
      <c r="K37">
        <f>J37+'R&amp;D_NRE'!L16</f>
        <v>278.33199999999999</v>
      </c>
      <c r="L37">
        <f>K37+'R&amp;D_NRE'!M16</f>
        <v>280.60300000000001</v>
      </c>
    </row>
    <row r="38" spans="2:12" ht="15" customHeight="1" x14ac:dyDescent="0.25">
      <c r="B38" t="s">
        <v>865</v>
      </c>
      <c r="C38" s="92">
        <f ca="1">'R&amp;D_NRE'!D18</f>
        <v>4.375</v>
      </c>
      <c r="D38">
        <f ca="1">C38+'R&amp;D_NRE'!E18</f>
        <v>23.591666666666669</v>
      </c>
      <c r="E38">
        <f ca="1">D38+'R&amp;D_NRE'!F18</f>
        <v>52.676666666666677</v>
      </c>
      <c r="F38">
        <f ca="1">E38+'R&amp;D_NRE'!G18</f>
        <v>88.985000000000014</v>
      </c>
      <c r="G38">
        <f ca="1">F38+'R&amp;D_NRE'!H18</f>
        <v>129.62500000000003</v>
      </c>
      <c r="H38">
        <f ca="1">G38+'R&amp;D_NRE'!I18</f>
        <v>172.70333333333338</v>
      </c>
      <c r="I38">
        <f ca="1">H38+'R&amp;D_NRE'!J18</f>
        <v>212.80083333333337</v>
      </c>
      <c r="J38">
        <f ca="1">I38+'R&amp;D_NRE'!K18</f>
        <v>239.10850000000005</v>
      </c>
      <c r="K38">
        <f ca="1">J38+'R&amp;D_NRE'!L18</f>
        <v>256.41216666666674</v>
      </c>
      <c r="L38">
        <f ca="1">K38+'R&amp;D_NRE'!M18</f>
        <v>266.87100000000009</v>
      </c>
    </row>
    <row r="39" spans="2:12" ht="15" customHeight="1" x14ac:dyDescent="0.25">
      <c r="B39" t="s">
        <v>866</v>
      </c>
      <c r="C39">
        <f t="shared" ref="C39:L39" ca="1" si="9">C37-C38</f>
        <v>21.875</v>
      </c>
      <c r="D39">
        <f t="shared" ca="1" si="9"/>
        <v>91.708333333333343</v>
      </c>
      <c r="E39">
        <f t="shared" ca="1" si="9"/>
        <v>121.83333333333334</v>
      </c>
      <c r="F39">
        <f t="shared" ca="1" si="9"/>
        <v>128.86500000000001</v>
      </c>
      <c r="G39">
        <f t="shared" ca="1" si="9"/>
        <v>114.215</v>
      </c>
      <c r="H39">
        <f t="shared" ca="1" si="9"/>
        <v>85.766666666666652</v>
      </c>
      <c r="I39">
        <f t="shared" ca="1" si="9"/>
        <v>54.034166666666664</v>
      </c>
      <c r="J39">
        <f t="shared" ca="1" si="9"/>
        <v>34.037499999999966</v>
      </c>
      <c r="K39">
        <f t="shared" ca="1" si="9"/>
        <v>21.919833333333258</v>
      </c>
      <c r="L39">
        <f t="shared" ca="1" si="9"/>
        <v>13.731999999999914</v>
      </c>
    </row>
    <row r="40" spans="2:12" ht="15" customHeight="1" x14ac:dyDescent="0.25">
      <c r="B40" t="s">
        <v>867</v>
      </c>
      <c r="C40">
        <f ca="1">'P&amp;L'!C38</f>
        <v>0</v>
      </c>
      <c r="D40">
        <f ca="1">'P&amp;L'!D38</f>
        <v>0</v>
      </c>
      <c r="E40">
        <f ca="1">'P&amp;L'!E38</f>
        <v>0</v>
      </c>
      <c r="F40">
        <f ca="1">'P&amp;L'!F38</f>
        <v>14.923212900889721</v>
      </c>
      <c r="G40">
        <f ca="1">'P&amp;L'!G38</f>
        <v>74.942378666860407</v>
      </c>
      <c r="H40">
        <f ca="1">'P&amp;L'!H38</f>
        <v>89.810593916285242</v>
      </c>
      <c r="I40">
        <f ca="1">'P&amp;L'!I38</f>
        <v>0</v>
      </c>
      <c r="J40">
        <f ca="1">'P&amp;L'!J38</f>
        <v>0</v>
      </c>
      <c r="K40">
        <f ca="1">'P&amp;L'!K38</f>
        <v>0</v>
      </c>
      <c r="L40">
        <f ca="1">'P&amp;L'!L38</f>
        <v>0</v>
      </c>
    </row>
  </sheetData>
  <mergeCells count="6">
    <mergeCell ref="B31:M31"/>
    <mergeCell ref="B2:M2"/>
    <mergeCell ref="B3:M3"/>
    <mergeCell ref="B5:M5"/>
    <mergeCell ref="B18:M18"/>
    <mergeCell ref="B24:M24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2:N28"/>
  <sheetViews>
    <sheetView showGridLines="0" zoomScaleNormal="100" workbookViewId="0">
      <pane xSplit="3" ySplit="4" topLeftCell="D11" activePane="bottomRight" state="frozen"/>
      <selection pane="topRight" activeCell="D1" sqref="D1"/>
      <selection pane="bottomLeft" activeCell="A11" sqref="A11"/>
      <selection pane="bottomRight" activeCell="B19" sqref="B19:N19"/>
    </sheetView>
  </sheetViews>
  <sheetFormatPr defaultColWidth="8.7109375" defaultRowHeight="15" x14ac:dyDescent="0.25"/>
  <cols>
    <col min="1" max="1" width="1.5703125" customWidth="1"/>
    <col min="2" max="2" width="32" customWidth="1"/>
    <col min="3" max="3" width="22" customWidth="1"/>
    <col min="4" max="13" width="13" customWidth="1"/>
  </cols>
  <sheetData>
    <row r="2" spans="2:14" ht="24" customHeight="1" x14ac:dyDescent="0.25">
      <c r="B2" s="108" t="s">
        <v>868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4" spans="2:14" ht="15" customHeight="1" x14ac:dyDescent="0.25">
      <c r="B4" s="9" t="s">
        <v>869</v>
      </c>
      <c r="C4" s="9" t="s">
        <v>870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4" ht="21.75" customHeight="1" x14ac:dyDescent="0.25">
      <c r="B5" s="110" t="s">
        <v>871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</row>
    <row r="6" spans="2:14" ht="84.75" customHeight="1" x14ac:dyDescent="0.25">
      <c r="B6" s="11" t="s">
        <v>872</v>
      </c>
      <c r="C6" s="42" t="s">
        <v>873</v>
      </c>
      <c r="D6" s="40">
        <v>450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</row>
    <row r="7" spans="2:14" ht="63" customHeight="1" x14ac:dyDescent="0.25">
      <c r="B7" s="11" t="s">
        <v>874</v>
      </c>
      <c r="C7" s="42" t="s">
        <v>875</v>
      </c>
      <c r="D7" s="40">
        <v>0</v>
      </c>
      <c r="E7" s="40">
        <v>400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</row>
    <row r="8" spans="2:14" ht="23.25" customHeight="1" x14ac:dyDescent="0.25">
      <c r="B8" s="11" t="s">
        <v>876</v>
      </c>
      <c r="C8" s="42" t="s">
        <v>877</v>
      </c>
      <c r="D8" s="40">
        <v>0</v>
      </c>
      <c r="E8" s="40">
        <v>0</v>
      </c>
      <c r="F8" s="40">
        <v>250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</row>
    <row r="9" spans="2:14" ht="15" customHeight="1" x14ac:dyDescent="0.25">
      <c r="B9" s="41" t="s">
        <v>95</v>
      </c>
      <c r="D9" s="43">
        <f t="shared" ref="D9:M9" si="0">SUM(D6:D8)</f>
        <v>450</v>
      </c>
      <c r="E9" s="43">
        <f t="shared" si="0"/>
        <v>400</v>
      </c>
      <c r="F9" s="43">
        <f t="shared" si="0"/>
        <v>250</v>
      </c>
      <c r="G9" s="43">
        <f t="shared" si="0"/>
        <v>0</v>
      </c>
      <c r="H9" s="43">
        <f t="shared" si="0"/>
        <v>0</v>
      </c>
      <c r="I9" s="43">
        <f t="shared" si="0"/>
        <v>0</v>
      </c>
      <c r="J9" s="43">
        <f t="shared" si="0"/>
        <v>0</v>
      </c>
      <c r="K9" s="43">
        <f t="shared" si="0"/>
        <v>0</v>
      </c>
      <c r="L9" s="43">
        <f t="shared" si="0"/>
        <v>0</v>
      </c>
      <c r="M9" s="43">
        <f t="shared" si="0"/>
        <v>0</v>
      </c>
    </row>
    <row r="10" spans="2:14" ht="15" customHeight="1" x14ac:dyDescent="0.25">
      <c r="B10" t="s">
        <v>878</v>
      </c>
      <c r="C10" t="s">
        <v>879</v>
      </c>
      <c r="D10">
        <v>1.5</v>
      </c>
      <c r="E10">
        <v>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2:14" ht="21.75" customHeight="1" x14ac:dyDescent="0.25">
      <c r="B11" s="110" t="s">
        <v>880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</row>
    <row r="12" spans="2:14" ht="15" customHeight="1" x14ac:dyDescent="0.25">
      <c r="B12" s="11" t="s">
        <v>881</v>
      </c>
      <c r="D12" s="69">
        <v>0.08</v>
      </c>
      <c r="E12" s="13">
        <f>D12</f>
        <v>0.08</v>
      </c>
      <c r="F12" s="13">
        <f>D12</f>
        <v>0.08</v>
      </c>
      <c r="G12" s="13">
        <f>D12</f>
        <v>0.08</v>
      </c>
      <c r="H12" s="13">
        <f>D12</f>
        <v>0.08</v>
      </c>
      <c r="I12" s="13">
        <f>D12</f>
        <v>0.08</v>
      </c>
      <c r="J12" s="13">
        <f>D12</f>
        <v>0.08</v>
      </c>
      <c r="K12" s="13">
        <f>D12</f>
        <v>0.08</v>
      </c>
      <c r="L12" s="13">
        <f>D12</f>
        <v>0.08</v>
      </c>
      <c r="M12" s="13">
        <f>D12</f>
        <v>0.08</v>
      </c>
    </row>
    <row r="13" spans="2:14" ht="38.25" customHeight="1" x14ac:dyDescent="0.25">
      <c r="B13" s="11" t="s">
        <v>882</v>
      </c>
      <c r="C13" t="s">
        <v>883</v>
      </c>
      <c r="D13" s="40">
        <v>20</v>
      </c>
      <c r="E13" s="40">
        <v>100</v>
      </c>
      <c r="F13" s="40">
        <v>80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</row>
    <row r="14" spans="2:14" ht="15" customHeight="1" x14ac:dyDescent="0.25">
      <c r="B14" s="11" t="s">
        <v>884</v>
      </c>
      <c r="D14" s="40">
        <v>0</v>
      </c>
      <c r="E14" s="40">
        <v>0</v>
      </c>
      <c r="F14" s="40">
        <v>0</v>
      </c>
      <c r="G14" s="40">
        <v>0</v>
      </c>
      <c r="H14" s="40">
        <v>36</v>
      </c>
      <c r="I14" s="40">
        <v>36</v>
      </c>
      <c r="J14" s="40">
        <v>55</v>
      </c>
      <c r="K14" s="40">
        <v>65</v>
      </c>
      <c r="L14" s="40">
        <v>8</v>
      </c>
      <c r="M14" s="40">
        <v>0</v>
      </c>
    </row>
    <row r="15" spans="2:14" ht="15" customHeight="1" x14ac:dyDescent="0.25">
      <c r="B15" s="42" t="s">
        <v>885</v>
      </c>
      <c r="D15" s="14">
        <f>0</f>
        <v>0</v>
      </c>
      <c r="E15" s="14">
        <f t="shared" ref="E15:M15" si="1">D16</f>
        <v>20</v>
      </c>
      <c r="F15" s="14">
        <f t="shared" si="1"/>
        <v>120</v>
      </c>
      <c r="G15" s="14">
        <f t="shared" si="1"/>
        <v>200</v>
      </c>
      <c r="H15" s="14">
        <f t="shared" si="1"/>
        <v>200</v>
      </c>
      <c r="I15" s="14">
        <f t="shared" si="1"/>
        <v>164</v>
      </c>
      <c r="J15" s="14">
        <f t="shared" si="1"/>
        <v>128</v>
      </c>
      <c r="K15" s="14">
        <f t="shared" si="1"/>
        <v>73</v>
      </c>
      <c r="L15" s="14">
        <f t="shared" si="1"/>
        <v>8</v>
      </c>
      <c r="M15" s="14">
        <f t="shared" si="1"/>
        <v>0</v>
      </c>
    </row>
    <row r="16" spans="2:14" ht="15" customHeight="1" x14ac:dyDescent="0.25">
      <c r="B16" s="41" t="s">
        <v>82</v>
      </c>
      <c r="D16" s="43">
        <f t="shared" ref="D16:M16" si="2">MAX(0,D15+D13-D14)</f>
        <v>20</v>
      </c>
      <c r="E16" s="43">
        <f t="shared" si="2"/>
        <v>120</v>
      </c>
      <c r="F16" s="43">
        <f t="shared" si="2"/>
        <v>200</v>
      </c>
      <c r="G16" s="43">
        <f t="shared" si="2"/>
        <v>200</v>
      </c>
      <c r="H16" s="43">
        <f t="shared" si="2"/>
        <v>164</v>
      </c>
      <c r="I16" s="43">
        <f t="shared" si="2"/>
        <v>128</v>
      </c>
      <c r="J16" s="43">
        <f t="shared" si="2"/>
        <v>73</v>
      </c>
      <c r="K16" s="43">
        <f t="shared" si="2"/>
        <v>8</v>
      </c>
      <c r="L16" s="43">
        <f t="shared" si="2"/>
        <v>0</v>
      </c>
      <c r="M16" s="43">
        <f t="shared" si="2"/>
        <v>0</v>
      </c>
    </row>
    <row r="17" spans="2:14" ht="15" customHeight="1" x14ac:dyDescent="0.25">
      <c r="B17" s="2" t="s">
        <v>886</v>
      </c>
      <c r="D17" s="14">
        <f t="shared" ref="D17:M17" si="3">MAX(0,(D15+D16)/2)*D12</f>
        <v>0.8</v>
      </c>
      <c r="E17" s="14">
        <f t="shared" si="3"/>
        <v>5.6000000000000005</v>
      </c>
      <c r="F17" s="14">
        <f t="shared" si="3"/>
        <v>12.8</v>
      </c>
      <c r="G17" s="14">
        <f t="shared" si="3"/>
        <v>16</v>
      </c>
      <c r="H17" s="14">
        <f t="shared" si="3"/>
        <v>14.56</v>
      </c>
      <c r="I17" s="14">
        <f t="shared" si="3"/>
        <v>11.68</v>
      </c>
      <c r="J17" s="14">
        <f t="shared" si="3"/>
        <v>8.0400000000000009</v>
      </c>
      <c r="K17" s="14">
        <f t="shared" si="3"/>
        <v>3.24</v>
      </c>
      <c r="L17" s="14">
        <f t="shared" si="3"/>
        <v>0.32</v>
      </c>
      <c r="M17" s="14">
        <f t="shared" si="3"/>
        <v>0</v>
      </c>
    </row>
    <row r="19" spans="2:14" ht="21.75" customHeight="1" x14ac:dyDescent="0.25">
      <c r="B19" s="110" t="s">
        <v>887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</row>
    <row r="20" spans="2:14" ht="15" customHeight="1" x14ac:dyDescent="0.25">
      <c r="B20" s="42" t="s">
        <v>888</v>
      </c>
      <c r="D20" s="14">
        <f t="shared" ref="D20:M20" si="4">D9</f>
        <v>450</v>
      </c>
      <c r="E20" s="14">
        <f t="shared" si="4"/>
        <v>400</v>
      </c>
      <c r="F20" s="14">
        <f t="shared" si="4"/>
        <v>250</v>
      </c>
      <c r="G20" s="14">
        <f t="shared" si="4"/>
        <v>0</v>
      </c>
      <c r="H20" s="14">
        <f t="shared" si="4"/>
        <v>0</v>
      </c>
      <c r="I20" s="14">
        <f t="shared" si="4"/>
        <v>0</v>
      </c>
      <c r="J20" s="14">
        <f t="shared" si="4"/>
        <v>0</v>
      </c>
      <c r="K20" s="14">
        <f t="shared" si="4"/>
        <v>0</v>
      </c>
      <c r="L20" s="14">
        <f t="shared" si="4"/>
        <v>0</v>
      </c>
      <c r="M20" s="14">
        <f t="shared" si="4"/>
        <v>0</v>
      </c>
    </row>
    <row r="21" spans="2:14" ht="15" customHeight="1" x14ac:dyDescent="0.25">
      <c r="B21" s="42" t="s">
        <v>823</v>
      </c>
      <c r="D21" s="14">
        <f t="shared" ref="D21:M21" si="5">D13-D14</f>
        <v>20</v>
      </c>
      <c r="E21" s="14">
        <f t="shared" si="5"/>
        <v>100</v>
      </c>
      <c r="F21" s="14">
        <f t="shared" si="5"/>
        <v>80</v>
      </c>
      <c r="G21" s="14">
        <f t="shared" si="5"/>
        <v>0</v>
      </c>
      <c r="H21" s="14">
        <f t="shared" si="5"/>
        <v>-36</v>
      </c>
      <c r="I21" s="14">
        <f t="shared" si="5"/>
        <v>-36</v>
      </c>
      <c r="J21" s="14">
        <f t="shared" si="5"/>
        <v>-55</v>
      </c>
      <c r="K21" s="14">
        <f t="shared" si="5"/>
        <v>-65</v>
      </c>
      <c r="L21" s="14">
        <f t="shared" si="5"/>
        <v>-8</v>
      </c>
      <c r="M21" s="14">
        <f t="shared" si="5"/>
        <v>0</v>
      </c>
    </row>
    <row r="22" spans="2:14" ht="15" customHeight="1" x14ac:dyDescent="0.25">
      <c r="B22" s="41" t="s">
        <v>889</v>
      </c>
      <c r="D22" s="43">
        <f t="shared" ref="D22:M22" si="6">D20+D21+D10</f>
        <v>471.5</v>
      </c>
      <c r="E22" s="43">
        <f t="shared" si="6"/>
        <v>525</v>
      </c>
      <c r="F22" s="43">
        <f t="shared" si="6"/>
        <v>330</v>
      </c>
      <c r="G22" s="43">
        <f t="shared" si="6"/>
        <v>0</v>
      </c>
      <c r="H22" s="43">
        <f t="shared" si="6"/>
        <v>-36</v>
      </c>
      <c r="I22" s="43">
        <f t="shared" si="6"/>
        <v>-36</v>
      </c>
      <c r="J22" s="43">
        <f t="shared" si="6"/>
        <v>-55</v>
      </c>
      <c r="K22" s="43">
        <f t="shared" si="6"/>
        <v>-65</v>
      </c>
      <c r="L22" s="43">
        <f t="shared" si="6"/>
        <v>-8</v>
      </c>
      <c r="M22" s="43">
        <f t="shared" si="6"/>
        <v>0</v>
      </c>
    </row>
    <row r="23" spans="2:14" ht="15" customHeight="1" x14ac:dyDescent="0.25">
      <c r="B23" t="s">
        <v>890</v>
      </c>
    </row>
    <row r="24" spans="2:14" ht="15" customHeight="1" x14ac:dyDescent="0.25">
      <c r="B24" t="s">
        <v>891</v>
      </c>
      <c r="D24" s="26">
        <f>Assumptions!$C$25</f>
        <v>100</v>
      </c>
      <c r="E24" s="26">
        <f>Assumptions!$C$25</f>
        <v>100</v>
      </c>
      <c r="F24" s="26">
        <f>Assumptions!$C$25</f>
        <v>100</v>
      </c>
      <c r="G24" s="26">
        <f>Assumptions!$C$25</f>
        <v>100</v>
      </c>
      <c r="H24" s="26">
        <f>Assumptions!$C$25</f>
        <v>100</v>
      </c>
      <c r="I24" s="26">
        <f>Assumptions!$C$25</f>
        <v>100</v>
      </c>
      <c r="J24" s="26">
        <f>Assumptions!$C$25</f>
        <v>100</v>
      </c>
      <c r="K24" s="26">
        <f>Assumptions!$C$25</f>
        <v>100</v>
      </c>
      <c r="L24" s="26">
        <f>Assumptions!$C$25</f>
        <v>100</v>
      </c>
      <c r="M24" s="26">
        <f>Assumptions!$C$25</f>
        <v>100</v>
      </c>
    </row>
    <row r="25" spans="2:14" ht="15" customHeight="1" x14ac:dyDescent="0.25">
      <c r="B25" t="s">
        <v>892</v>
      </c>
      <c r="D25" s="26">
        <f ca="1">CashFlow!C30</f>
        <v>110.07821599520958</v>
      </c>
      <c r="E25" s="26">
        <f ca="1">CashFlow!D30</f>
        <v>142.34484920998881</v>
      </c>
      <c r="F25" s="26">
        <f ca="1">CashFlow!E30</f>
        <v>238.21775725734415</v>
      </c>
      <c r="G25" s="26">
        <f ca="1">CashFlow!F30</f>
        <v>241.21046833188407</v>
      </c>
      <c r="H25" s="26">
        <f ca="1">CashFlow!G30</f>
        <v>470.74526213124705</v>
      </c>
      <c r="I25" s="26">
        <f ca="1">CashFlow!H30</f>
        <v>1006.7191485929891</v>
      </c>
      <c r="J25" s="26">
        <f ca="1">CashFlow!I30</f>
        <v>1877.5539602162228</v>
      </c>
      <c r="K25" s="26">
        <f ca="1">CashFlow!J30</f>
        <v>2884.3845180338853</v>
      </c>
      <c r="L25" s="26">
        <f ca="1">CashFlow!K30</f>
        <v>4242.3707030793685</v>
      </c>
      <c r="M25" s="26">
        <f ca="1">CashFlow!L30</f>
        <v>5903.2654760257619</v>
      </c>
    </row>
    <row r="26" spans="2:14" ht="15" customHeight="1" x14ac:dyDescent="0.25">
      <c r="B26" t="s">
        <v>893</v>
      </c>
      <c r="D26">
        <f t="shared" ref="D26:M26" ca="1" si="7">MAX(0,D24-D25)</f>
        <v>0</v>
      </c>
      <c r="E26">
        <f t="shared" ca="1" si="7"/>
        <v>0</v>
      </c>
      <c r="F26">
        <f t="shared" ca="1" si="7"/>
        <v>0</v>
      </c>
      <c r="G26">
        <f t="shared" ca="1" si="7"/>
        <v>0</v>
      </c>
      <c r="H26">
        <f t="shared" ca="1" si="7"/>
        <v>0</v>
      </c>
      <c r="I26">
        <f t="shared" ca="1" si="7"/>
        <v>0</v>
      </c>
      <c r="J26">
        <f t="shared" ca="1" si="7"/>
        <v>0</v>
      </c>
      <c r="K26">
        <f t="shared" ca="1" si="7"/>
        <v>0</v>
      </c>
      <c r="L26">
        <f t="shared" ca="1" si="7"/>
        <v>0</v>
      </c>
      <c r="M26">
        <f t="shared" ca="1" si="7"/>
        <v>0</v>
      </c>
    </row>
    <row r="27" spans="2:14" ht="15" customHeight="1" x14ac:dyDescent="0.25">
      <c r="B27" t="s">
        <v>894</v>
      </c>
    </row>
    <row r="28" spans="2:14" ht="15" customHeight="1" x14ac:dyDescent="0.25">
      <c r="B28" t="s">
        <v>895</v>
      </c>
      <c r="C28" t="s">
        <v>896</v>
      </c>
    </row>
  </sheetData>
  <mergeCells count="4">
    <mergeCell ref="B2:N2"/>
    <mergeCell ref="B5:N5"/>
    <mergeCell ref="B11:N11"/>
    <mergeCell ref="B19:N19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2:G40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14" sqref="L14"/>
    </sheetView>
  </sheetViews>
  <sheetFormatPr defaultColWidth="8.7109375" defaultRowHeight="15" x14ac:dyDescent="0.25"/>
  <cols>
    <col min="1" max="1" width="1.5703125" customWidth="1"/>
    <col min="2" max="2" width="40" customWidth="1"/>
    <col min="3" max="3" width="23" customWidth="1"/>
    <col min="4" max="4" width="12.7109375" customWidth="1"/>
    <col min="5" max="5" width="12.140625" customWidth="1"/>
    <col min="16378" max="16384" width="11.5703125" customWidth="1"/>
  </cols>
  <sheetData>
    <row r="2" spans="2:7" ht="24" customHeight="1" x14ac:dyDescent="0.25">
      <c r="B2" s="130" t="s">
        <v>897</v>
      </c>
      <c r="C2" s="130"/>
      <c r="D2" s="130"/>
      <c r="E2" s="130"/>
      <c r="F2" s="130"/>
      <c r="G2" s="130"/>
    </row>
    <row r="4" spans="2:7" ht="15" customHeight="1" x14ac:dyDescent="0.25">
      <c r="B4" s="11" t="s">
        <v>898</v>
      </c>
      <c r="C4" s="76">
        <v>6</v>
      </c>
    </row>
    <row r="6" spans="2:7" ht="21.75" customHeight="1" x14ac:dyDescent="0.25">
      <c r="B6" s="110" t="s">
        <v>899</v>
      </c>
      <c r="C6" s="110"/>
      <c r="D6" s="110"/>
      <c r="E6" s="110"/>
      <c r="F6" s="110"/>
      <c r="G6" s="110"/>
    </row>
    <row r="7" spans="2:7" ht="34.5" customHeight="1" x14ac:dyDescent="0.25">
      <c r="B7" s="9" t="s">
        <v>18</v>
      </c>
      <c r="C7" s="9" t="s">
        <v>900</v>
      </c>
      <c r="D7" s="9" t="s">
        <v>901</v>
      </c>
      <c r="E7" s="9" t="s">
        <v>902</v>
      </c>
      <c r="F7" s="9" t="s">
        <v>903</v>
      </c>
      <c r="G7" s="9" t="s">
        <v>904</v>
      </c>
    </row>
    <row r="8" spans="2:7" ht="15" customHeight="1" x14ac:dyDescent="0.25">
      <c r="B8" s="56" t="s">
        <v>303</v>
      </c>
      <c r="C8" s="14">
        <f>INDEX(V1_AESA!$D$31:$M$31,$C$4)</f>
        <v>1403.4983210178139</v>
      </c>
      <c r="D8" s="14">
        <f>INDEX(V1_AESA!$D$32:$M$32,$C$4)</f>
        <v>493.12812231493928</v>
      </c>
      <c r="E8" s="14">
        <f t="shared" ref="E8:E13" si="0">C8-D8</f>
        <v>910.37019870287463</v>
      </c>
      <c r="F8" s="13">
        <f t="shared" ref="F8:F14" si="1">IFERROR(E8/C8,0)</f>
        <v>0.64864359655427029</v>
      </c>
      <c r="G8" s="15">
        <f>INDEX(V1_AESA!$D$33:$M$33,$C$4)</f>
        <v>59</v>
      </c>
    </row>
    <row r="9" spans="2:7" ht="15" customHeight="1" x14ac:dyDescent="0.25">
      <c r="B9" s="56" t="s">
        <v>304</v>
      </c>
      <c r="C9" s="14">
        <f>INDEX(V2_EW_SIGINT!$D$39:$M$39,$C$4)</f>
        <v>1073.5207490377516</v>
      </c>
      <c r="D9" s="14">
        <f>INDEX(V2_EW_SIGINT!$D$40:$M$40,$C$4)</f>
        <v>415.24683665731021</v>
      </c>
      <c r="E9" s="14">
        <f t="shared" si="0"/>
        <v>658.27391238044129</v>
      </c>
      <c r="F9" s="13">
        <f t="shared" si="1"/>
        <v>0.61319160618971169</v>
      </c>
      <c r="G9" s="15">
        <f>INDEX(V2_EW_SIGINT!$D$41:$M$41,$C$4)</f>
        <v>76</v>
      </c>
    </row>
    <row r="10" spans="2:7" ht="15" customHeight="1" x14ac:dyDescent="0.25">
      <c r="B10" s="60" t="s">
        <v>305</v>
      </c>
      <c r="C10" s="14">
        <f>INDEX(V3_CUAS!$D$31:$M$31,$C$4)</f>
        <v>809.94420497609894</v>
      </c>
      <c r="D10" s="14">
        <f>INDEX(V3_CUAS!$D$32:$M$32,$C$4)</f>
        <v>363.49831107398927</v>
      </c>
      <c r="E10" s="14">
        <f t="shared" si="0"/>
        <v>446.44589390210967</v>
      </c>
      <c r="F10" s="13">
        <f t="shared" si="1"/>
        <v>0.55120573881417434</v>
      </c>
      <c r="G10" s="15">
        <f>INDEX(V3_CUAS!$D$33:$M$33,$C$4)</f>
        <v>214</v>
      </c>
    </row>
    <row r="11" spans="2:7" ht="15" customHeight="1" x14ac:dyDescent="0.25">
      <c r="B11" s="56" t="s">
        <v>306</v>
      </c>
      <c r="C11" s="14">
        <f>INDEX(V4_UAS_MALE!$D$31:$M$31,$C$4)</f>
        <v>973.45059439899319</v>
      </c>
      <c r="D11" s="14">
        <f>INDEX(V4_UAS_MALE!$D$32:$M$32,$C$4)</f>
        <v>302.4608041922445</v>
      </c>
      <c r="E11" s="14">
        <f t="shared" si="0"/>
        <v>670.98979020674869</v>
      </c>
      <c r="F11" s="13">
        <f t="shared" si="1"/>
        <v>0.68929003081149354</v>
      </c>
      <c r="G11" s="15">
        <f>INDEX(V4_UAS_MALE!$D$33:$M$33,$C$4)</f>
        <v>6</v>
      </c>
    </row>
    <row r="12" spans="2:7" ht="15" customHeight="1" x14ac:dyDescent="0.25">
      <c r="B12" s="61" t="s">
        <v>307</v>
      </c>
      <c r="C12" s="14">
        <f>INDEX(V5_Autonomous!$D$31:$M$31,$C$4)</f>
        <v>439.54874499024504</v>
      </c>
      <c r="D12" s="14">
        <f>INDEX(V5_Autonomous!$D$32:$M$32,$C$4)</f>
        <v>120.92986035208212</v>
      </c>
      <c r="E12" s="14">
        <f t="shared" si="0"/>
        <v>318.61888463816291</v>
      </c>
      <c r="F12" s="13">
        <f t="shared" si="1"/>
        <v>0.7248772480177007</v>
      </c>
      <c r="G12" s="15">
        <f>INDEX(V5_Autonomous!$D$33:$M$33,$C$4)</f>
        <v>19</v>
      </c>
    </row>
    <row r="13" spans="2:7" ht="15" customHeight="1" x14ac:dyDescent="0.25">
      <c r="B13" s="62" t="s">
        <v>308</v>
      </c>
      <c r="C13" s="14">
        <f>INDEX(V6_MilAI!$D$31:$M$31,$C$4)</f>
        <v>416.48936120866279</v>
      </c>
      <c r="D13" s="14">
        <f>INDEX(V6_MilAI!$D$32:$M$32,$C$4)</f>
        <v>23.806999999999999</v>
      </c>
      <c r="E13" s="14">
        <f t="shared" si="0"/>
        <v>392.68236120866277</v>
      </c>
      <c r="F13" s="13">
        <f t="shared" si="1"/>
        <v>0.94283887604977112</v>
      </c>
      <c r="G13" s="15">
        <f>INDEX(V6_MilAI!$D$33:$M$33,$C$4)</f>
        <v>80</v>
      </c>
    </row>
    <row r="14" spans="2:7" ht="33.75" customHeight="1" x14ac:dyDescent="0.25">
      <c r="B14" s="41" t="s">
        <v>905</v>
      </c>
      <c r="C14" s="43">
        <f>SUM(C8:C13)</f>
        <v>5116.4519756295649</v>
      </c>
      <c r="D14" s="43">
        <f>SUM(D8:D13)</f>
        <v>1719.0709345905655</v>
      </c>
      <c r="E14" s="43">
        <f>SUM(E8:E13)</f>
        <v>3397.3810410389997</v>
      </c>
      <c r="F14" s="80">
        <f t="shared" si="1"/>
        <v>0.6640111266989781</v>
      </c>
      <c r="G14" s="79">
        <f>SUM(G8:G13)</f>
        <v>454</v>
      </c>
    </row>
    <row r="16" spans="2:7" ht="21.75" customHeight="1" x14ac:dyDescent="0.25">
      <c r="B16" s="110" t="s">
        <v>906</v>
      </c>
      <c r="C16" s="110"/>
      <c r="D16" s="110"/>
      <c r="E16" s="110"/>
      <c r="F16" s="110"/>
      <c r="G16" s="110"/>
    </row>
    <row r="17" spans="2:7" ht="15" customHeight="1" x14ac:dyDescent="0.25">
      <c r="B17" s="1" t="s">
        <v>907</v>
      </c>
      <c r="C17" s="14">
        <f>INDEX('R&amp;D_NRE'!$D$12:$M$12,$C$4)</f>
        <v>66.91187624668801</v>
      </c>
    </row>
    <row r="18" spans="2:7" ht="15" customHeight="1" x14ac:dyDescent="0.25">
      <c r="B18" s="1" t="s">
        <v>908</v>
      </c>
      <c r="C18" s="14">
        <f>INDEX('P&amp;L'!$C$13:$L$13,$C$4)</f>
        <v>174.41819249004325</v>
      </c>
    </row>
    <row r="19" spans="2:7" ht="15" customHeight="1" x14ac:dyDescent="0.25">
      <c r="B19" s="1" t="s">
        <v>909</v>
      </c>
      <c r="C19" s="14">
        <f>INDEX('P&amp;L'!$C$14:$L$14,$C$4)</f>
        <v>152.61591842878786</v>
      </c>
    </row>
    <row r="20" spans="2:7" ht="15" customHeight="1" x14ac:dyDescent="0.25">
      <c r="B20" s="1" t="s">
        <v>910</v>
      </c>
      <c r="C20" s="14">
        <f>INDEX('P&amp;L'!$C$15:$L$15,$C$4)</f>
        <v>138.26126519864468</v>
      </c>
    </row>
    <row r="21" spans="2:7" ht="15" customHeight="1" x14ac:dyDescent="0.25">
      <c r="B21" s="1" t="s">
        <v>911</v>
      </c>
      <c r="C21" s="14">
        <f ca="1">INDEX('P&amp;L'!$C$19:$L$19,$C$4)</f>
        <v>92.688809523809525</v>
      </c>
    </row>
    <row r="22" spans="2:7" ht="15" customHeight="1" x14ac:dyDescent="0.25">
      <c r="B22" s="1" t="s">
        <v>912</v>
      </c>
      <c r="C22" s="14">
        <f>INDEX('P&amp;L'!$C$7:$L$7,$C$4)</f>
        <v>26.547366330368011</v>
      </c>
    </row>
    <row r="23" spans="2:7" ht="15" customHeight="1" x14ac:dyDescent="0.25">
      <c r="B23" s="41" t="s">
        <v>913</v>
      </c>
      <c r="C23" s="43">
        <f ca="1">C17+C18+C19+C20+C21+C22</f>
        <v>651.4434282183413</v>
      </c>
    </row>
    <row r="25" spans="2:7" ht="21.75" customHeight="1" x14ac:dyDescent="0.25">
      <c r="B25" s="110" t="s">
        <v>914</v>
      </c>
      <c r="C25" s="110"/>
      <c r="D25" s="110"/>
      <c r="E25" s="110"/>
      <c r="F25" s="110"/>
      <c r="G25" s="110"/>
    </row>
    <row r="26" spans="2:7" ht="15" customHeight="1" x14ac:dyDescent="0.25">
      <c r="B26" s="42" t="s">
        <v>915</v>
      </c>
      <c r="C26" s="13">
        <f>F14</f>
        <v>0.6640111266989781</v>
      </c>
    </row>
    <row r="27" spans="2:7" ht="15" customHeight="1" x14ac:dyDescent="0.25">
      <c r="B27" s="41" t="s">
        <v>916</v>
      </c>
      <c r="C27" s="43">
        <f ca="1">IFERROR(C23/C26,0)</f>
        <v>981.07306041223273</v>
      </c>
    </row>
    <row r="29" spans="2:7" ht="21.75" customHeight="1" x14ac:dyDescent="0.25">
      <c r="B29" s="110" t="s">
        <v>917</v>
      </c>
      <c r="C29" s="110"/>
      <c r="D29" s="110"/>
      <c r="E29" s="110"/>
      <c r="F29" s="110"/>
      <c r="G29" s="110"/>
    </row>
    <row r="30" spans="2:7" ht="15" customHeight="1" x14ac:dyDescent="0.25">
      <c r="B30" s="11" t="s">
        <v>918</v>
      </c>
      <c r="C30" s="100">
        <f>IFERROR(MATCH(TRUE(),INDEX('P&amp;L'!C16:L16&gt;0,0),0),"n/a")</f>
        <v>4</v>
      </c>
    </row>
    <row r="31" spans="2:7" ht="15" customHeight="1" x14ac:dyDescent="0.25">
      <c r="B31" s="11" t="s">
        <v>919</v>
      </c>
      <c r="C31" s="100">
        <f ca="1">IFERROR(MATCH(TRUE(),INDEX(CashFlow!C27:L27&gt;0,0),0),"n/a")</f>
        <v>4</v>
      </c>
    </row>
    <row r="32" spans="2:7" ht="15" customHeight="1" x14ac:dyDescent="0.25">
      <c r="B32" s="11" t="s">
        <v>920</v>
      </c>
      <c r="C32" s="101">
        <f ca="1">MIN(CashFlow!C28:L28)</f>
        <v>-1061.7822427426559</v>
      </c>
    </row>
    <row r="33" spans="2:3" ht="15" customHeight="1" x14ac:dyDescent="0.25">
      <c r="B33" s="11" t="s">
        <v>90</v>
      </c>
      <c r="C33" s="101">
        <f>SUM('P&amp;L'!C5:L5)</f>
        <v>21209.23355383526</v>
      </c>
    </row>
    <row r="34" spans="2:3" ht="15" customHeight="1" x14ac:dyDescent="0.25">
      <c r="B34" s="11" t="s">
        <v>91</v>
      </c>
      <c r="C34" s="101">
        <f>SUM('P&amp;L'!C16:L16)</f>
        <v>8100.0524649486906</v>
      </c>
    </row>
    <row r="35" spans="2:3" ht="15" customHeight="1" x14ac:dyDescent="0.25">
      <c r="B35" s="11" t="s">
        <v>92</v>
      </c>
      <c r="C35" s="101">
        <f ca="1">SUM('P&amp;L'!C24:L24)</f>
        <v>5548.2439201400903</v>
      </c>
    </row>
    <row r="36" spans="2:3" ht="28.35" customHeight="1" x14ac:dyDescent="0.25">
      <c r="B36" s="102" t="s">
        <v>921</v>
      </c>
      <c r="C36" s="101">
        <f>SUM('R&amp;D_NRE'!D8:M8)-SUM('R&amp;D_NRE'!D6:M6)</f>
        <v>994.32373199999984</v>
      </c>
    </row>
    <row r="37" spans="2:3" ht="15" customHeight="1" x14ac:dyDescent="0.25">
      <c r="B37" s="11" t="s">
        <v>922</v>
      </c>
      <c r="C37" s="101">
        <f>SUM(Funding!D9:M9)</f>
        <v>1100</v>
      </c>
    </row>
    <row r="38" spans="2:3" ht="23.1" customHeight="1" x14ac:dyDescent="0.25">
      <c r="B38" s="11" t="s">
        <v>923</v>
      </c>
      <c r="C38" s="101">
        <f>MAX(Funding!D16:M16)</f>
        <v>200</v>
      </c>
    </row>
    <row r="39" spans="2:3" ht="15" customHeight="1" x14ac:dyDescent="0.25">
      <c r="B39" s="11" t="s">
        <v>924</v>
      </c>
      <c r="C39" s="101">
        <f ca="1">NPV(Assumptions!$C$7,CashFlow!C27:L27)</f>
        <v>747.15263125746003</v>
      </c>
    </row>
    <row r="40" spans="2:3" ht="36.75" customHeight="1" x14ac:dyDescent="0.25">
      <c r="B40" s="11" t="s">
        <v>925</v>
      </c>
      <c r="C40" s="103">
        <f ca="1">IFERROR(IRR(CashFlow!C27:L27),0)</f>
        <v>0.31896859345881357</v>
      </c>
    </row>
  </sheetData>
  <mergeCells count="5">
    <mergeCell ref="B2:G2"/>
    <mergeCell ref="B6:G6"/>
    <mergeCell ref="B16:G16"/>
    <mergeCell ref="B25:G25"/>
    <mergeCell ref="B29:G29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Cover</vt:lpstr>
      <vt:lpstr>KPIs</vt:lpstr>
      <vt:lpstr>Strategy</vt:lpstr>
      <vt:lpstr>MarketPositioning</vt:lpstr>
      <vt:lpstr>Roadmap</vt:lpstr>
      <vt:lpstr>Platform</vt:lpstr>
      <vt:lpstr>R&amp;D_Buckets</vt:lpstr>
      <vt:lpstr>ReuseMatrix</vt:lpstr>
      <vt:lpstr>Assumptions</vt:lpstr>
      <vt:lpstr>V1_AESA</vt:lpstr>
      <vt:lpstr>V2_EW_SIGINT</vt:lpstr>
      <vt:lpstr>V3_CUAS</vt:lpstr>
      <vt:lpstr>V4_UAS_MALE</vt:lpstr>
      <vt:lpstr>V5_Autonomous</vt:lpstr>
      <vt:lpstr>V6_MilAI</vt:lpstr>
      <vt:lpstr>Revenue</vt:lpstr>
      <vt:lpstr>Backlog</vt:lpstr>
      <vt:lpstr>Headcount</vt:lpstr>
      <vt:lpstr>R&amp;D_NRE</vt:lpstr>
      <vt:lpstr>Capex</vt:lpstr>
      <vt:lpstr>Opex</vt:lpstr>
      <vt:lpstr>P&amp;L</vt:lpstr>
      <vt:lpstr>CashFlow</vt:lpstr>
      <vt:lpstr>BalanceSheet</vt:lpstr>
      <vt:lpstr>Funding</vt:lpstr>
      <vt:lpstr>BreakEven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Anupam Prasad</cp:lastModifiedBy>
  <cp:revision>13</cp:revision>
  <dcterms:created xsi:type="dcterms:W3CDTF">2026-05-14T19:43:03Z</dcterms:created>
  <dcterms:modified xsi:type="dcterms:W3CDTF">2026-06-28T13:56:20Z</dcterms:modified>
  <dc:language>en-IN</dc:language>
</cp:coreProperties>
</file>